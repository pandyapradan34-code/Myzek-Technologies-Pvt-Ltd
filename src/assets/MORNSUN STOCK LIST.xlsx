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WEBSITE\"/>
    </mc:Choice>
  </mc:AlternateContent>
  <xr:revisionPtr revIDLastSave="0" documentId="13_ncr:1_{723F7AA9-E3DC-46D7-810B-AED8980A5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losed Type of SMPS" sheetId="1" r:id="rId1"/>
    <sheet name="DIN RAIL rype " sheetId="2" r:id="rId2"/>
  </sheets>
  <definedNames>
    <definedName name="_xlnm._FilterDatabase" localSheetId="0" hidden="1">'Enclosed Type of SMPS'!$A$1:$F$73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2" l="1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92" i="1" l="1"/>
  <c r="B91" i="1"/>
  <c r="B90" i="1"/>
  <c r="B89" i="1"/>
  <c r="B87" i="1"/>
  <c r="B86" i="1"/>
  <c r="B85" i="1"/>
  <c r="B83" i="1"/>
  <c r="B82" i="1"/>
  <c r="B80" i="1"/>
  <c r="B77" i="1"/>
  <c r="B79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3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<sst xmlns="http://schemas.openxmlformats.org/spreadsheetml/2006/main" count="490" uniqueCount="278">
  <si>
    <t>PART NO</t>
  </si>
  <si>
    <t>LM15-23B05</t>
  </si>
  <si>
    <t>LM50-23B05</t>
  </si>
  <si>
    <t>LM35-20B05</t>
  </si>
  <si>
    <t>LM200-12B05</t>
  </si>
  <si>
    <t>LM350-12B05</t>
  </si>
  <si>
    <t>LM15-23B03</t>
  </si>
  <si>
    <t>LM100-23B05R2</t>
  </si>
  <si>
    <t>LM150-20B12</t>
  </si>
  <si>
    <t>LM200-10B12</t>
  </si>
  <si>
    <t>LM100-22B12</t>
  </si>
  <si>
    <t>LM200-12B12</t>
  </si>
  <si>
    <t>LM450-12B12</t>
  </si>
  <si>
    <t>LMF150-20B12</t>
  </si>
  <si>
    <t>LMF320-20B12</t>
  </si>
  <si>
    <t>LM100-23B12</t>
  </si>
  <si>
    <t>LMF100-23B12</t>
  </si>
  <si>
    <t>LMF150-23B12</t>
  </si>
  <si>
    <t>LMF200-23B12</t>
  </si>
  <si>
    <t>LMF320-23B12</t>
  </si>
  <si>
    <t>LM200-20B12R2</t>
  </si>
  <si>
    <t>LM50-23B12R2</t>
  </si>
  <si>
    <t>LM75-23B12R2</t>
  </si>
  <si>
    <t xml:space="preserve">LM100-23B12R2 </t>
  </si>
  <si>
    <t>LM150-23B12R2</t>
  </si>
  <si>
    <t xml:space="preserve">LM200-22B12R2 </t>
  </si>
  <si>
    <t>LM600-12B15</t>
  </si>
  <si>
    <t>LM15-23B15</t>
  </si>
  <si>
    <t>LM50-23B15</t>
  </si>
  <si>
    <t>LM60-12A15</t>
  </si>
  <si>
    <t>LMF1000-20B15</t>
  </si>
  <si>
    <t>LM450-20B15</t>
  </si>
  <si>
    <t>LM600-20B15</t>
  </si>
  <si>
    <t>LM35-23B15R2</t>
  </si>
  <si>
    <t>LM15-23B24</t>
  </si>
  <si>
    <t>LM25-23B24</t>
  </si>
  <si>
    <t>LM35-20B24</t>
  </si>
  <si>
    <t>LM150-20B24</t>
  </si>
  <si>
    <t>LM350-10B24</t>
  </si>
  <si>
    <t>LM35-22B24</t>
  </si>
  <si>
    <t>LM75-22B24</t>
  </si>
  <si>
    <t>LM350-12B24</t>
  </si>
  <si>
    <t>LM450-12B24</t>
  </si>
  <si>
    <t>LMF100-20B24</t>
  </si>
  <si>
    <t>LMF150-20B24</t>
  </si>
  <si>
    <t>LMF320-20B24</t>
  </si>
  <si>
    <t>LMF500-20B24</t>
  </si>
  <si>
    <t>LM35-23B24</t>
  </si>
  <si>
    <t>LM50-23B24</t>
  </si>
  <si>
    <t>LM75-23B24</t>
  </si>
  <si>
    <t>LM100-23B24</t>
  </si>
  <si>
    <t>LMF100-23B24</t>
  </si>
  <si>
    <t>LMF150-23B24</t>
  </si>
  <si>
    <t>LM450-20B24</t>
  </si>
  <si>
    <t>LM600-20B24</t>
  </si>
  <si>
    <t>LMF600-20B24</t>
  </si>
  <si>
    <t>LM75-23B24R2</t>
  </si>
  <si>
    <t>LM100-23B24R2</t>
  </si>
  <si>
    <t>LMF3000-20B24</t>
  </si>
  <si>
    <t>LM50-20B48</t>
  </si>
  <si>
    <t>LM75-20B48</t>
  </si>
  <si>
    <t>LM50-22B48</t>
  </si>
  <si>
    <t>LM75-22B48</t>
  </si>
  <si>
    <t>LMF150-23B48</t>
  </si>
  <si>
    <t>LM450-20B48</t>
  </si>
  <si>
    <t>LMF3000-20B48</t>
  </si>
  <si>
    <t>LM75-23B48R2</t>
  </si>
  <si>
    <t>LM150-23B54R2</t>
  </si>
  <si>
    <t>LMF320-23B72</t>
  </si>
  <si>
    <t>LM75-20B36</t>
  </si>
  <si>
    <t>LM150-20B36</t>
  </si>
  <si>
    <t>LM450-12B36</t>
  </si>
  <si>
    <t xml:space="preserve"> LMF1000-20B36</t>
  </si>
  <si>
    <t>LI15-20B05PR2</t>
  </si>
  <si>
    <t>LI60-20B05PR2</t>
  </si>
  <si>
    <t>LI15-20B12PR2</t>
  </si>
  <si>
    <t>LI75-20B12R2S</t>
  </si>
  <si>
    <t>LI100-20B12PR2</t>
  </si>
  <si>
    <t>LI120-20B12R2S</t>
  </si>
  <si>
    <t>LI150-20B12PR2</t>
  </si>
  <si>
    <t>LI30-20B15PR2</t>
  </si>
  <si>
    <t>LI60-20B15PR2</t>
  </si>
  <si>
    <t>LI150-20B15PR2</t>
  </si>
  <si>
    <t>LI75-20B24R2S</t>
  </si>
  <si>
    <t xml:space="preserve">LI100-20B24PR2 </t>
  </si>
  <si>
    <t>LIF240-26B24</t>
  </si>
  <si>
    <t>LIF480-10B24R2</t>
  </si>
  <si>
    <t>LIF960-22B24</t>
  </si>
  <si>
    <t>LITF240-26B24</t>
  </si>
  <si>
    <t>LITF480-26B24S</t>
  </si>
  <si>
    <t>LITF480-26B24</t>
  </si>
  <si>
    <t>LITF960-26B24</t>
  </si>
  <si>
    <t>LIHF240-23B24</t>
  </si>
  <si>
    <t>LIHF480-23B24</t>
  </si>
  <si>
    <t>LIHF960-23B24</t>
  </si>
  <si>
    <t>LIMF240-23B24</t>
  </si>
  <si>
    <t>LIMF480-23B24</t>
  </si>
  <si>
    <t>LI120-22B24PR2-YD</t>
  </si>
  <si>
    <t>LI75-20B48R2S</t>
  </si>
  <si>
    <t>LI75-23B48R3</t>
  </si>
  <si>
    <t>LI120-20B48R2</t>
  </si>
  <si>
    <t>LI150-20B48PR2</t>
  </si>
  <si>
    <t>LIF240-10B48R2</t>
  </si>
  <si>
    <t>LIF240-10B48R2S</t>
  </si>
  <si>
    <t>LI120-20B48R2S</t>
  </si>
  <si>
    <t>LIF240-26B48</t>
  </si>
  <si>
    <t>LIHF240-23B48</t>
  </si>
  <si>
    <t>LIHF480-23B48</t>
  </si>
  <si>
    <t>LITF480-26B48</t>
  </si>
  <si>
    <t>LI120-26B48</t>
  </si>
  <si>
    <t>LIF960-2248</t>
  </si>
  <si>
    <t>LM35-10D0512-10</t>
  </si>
  <si>
    <t>LM75-10D0512-30</t>
  </si>
  <si>
    <t>LM35-10A0512-10</t>
  </si>
  <si>
    <t>LM50-10A0512-20</t>
  </si>
  <si>
    <t>LM75-10A0512-30</t>
  </si>
  <si>
    <t>LM35-10A0524-10</t>
  </si>
  <si>
    <t>LM50-10A0524-14</t>
  </si>
  <si>
    <t>LM35-10C051212-10</t>
  </si>
  <si>
    <t>LM75-10C051212-28</t>
  </si>
  <si>
    <t>LM35-10C051515-10</t>
  </si>
  <si>
    <t>LM50-10C051515-15</t>
  </si>
  <si>
    <t xml:space="preserve">LM75-10C051515-23 </t>
  </si>
  <si>
    <t>LM35-10C052412-05</t>
  </si>
  <si>
    <t>LM75-10C052412-15</t>
  </si>
  <si>
    <t>LM100-10C052412-20</t>
  </si>
  <si>
    <t>LM65-10J051224-MT</t>
  </si>
  <si>
    <t>5V/24V/12V</t>
  </si>
  <si>
    <t>5V/15V/-15V</t>
  </si>
  <si>
    <t>5V/12V/-12V</t>
  </si>
  <si>
    <t>stockQTY</t>
  </si>
  <si>
    <t>MAKE</t>
  </si>
  <si>
    <t>MORNSUN</t>
  </si>
  <si>
    <t>Product Detail</t>
  </si>
  <si>
    <t>Spec</t>
  </si>
  <si>
    <t>15W,5V ,85-305VAC</t>
  </si>
  <si>
    <t>50W,5V , 85-305VAC</t>
  </si>
  <si>
    <t>https://www.mornsun-power.com/html/pdf/LM15-23B05.html/</t>
  </si>
  <si>
    <t>https://www.mornsun-power.com/html/pdf/LM50-23B05.html/</t>
  </si>
  <si>
    <t>https://www.mornsun-power.com/html/pdf/LM35-20B05.html/</t>
  </si>
  <si>
    <t>https://www.mornsun-power.com/html/pdf/LM350-12B05.html/</t>
  </si>
  <si>
    <t>https://www.mornsun-power.com/html/pdf/LM150-20B12.html/</t>
  </si>
  <si>
    <t>https://www.mornsun-power.com/html/pdf/LM200-20B12R2.html/</t>
  </si>
  <si>
    <t>Datasheet</t>
  </si>
  <si>
    <t>AC/DC 15W Enclosed Switching Power Supply</t>
  </si>
  <si>
    <t>AC/DC 50W Enclosed Switching Power Supply</t>
  </si>
  <si>
    <t>35W, 5V, 85-264VAC</t>
  </si>
  <si>
    <t>AC/DC 35W Enclosed Switching Power Supply</t>
  </si>
  <si>
    <t>https://www.mornsun-power.com/html/pdf/LM200-12B05.html</t>
  </si>
  <si>
    <t>https://www.mornsun-power.com/html/pdf/LM15-23B03.html</t>
  </si>
  <si>
    <t>https://www.mornsun-power.com/html/pdf/LM200-10B12.html</t>
  </si>
  <si>
    <t>https://www.mornsun-power.com/html/pdf/LM100-22B12.html</t>
  </si>
  <si>
    <t>https://www.mornsun-power.com/html/pdf/LM200-12B12.html</t>
  </si>
  <si>
    <t>https://www.mornsun-power.com/html/pdf/LM450-12B12.html</t>
  </si>
  <si>
    <t>https://www.mornsun-power.com/html/pdf/LM100-23B12.html</t>
  </si>
  <si>
    <t>https://www.mornsun-power.com/html/pdf/LM200-20B12R2.html</t>
  </si>
  <si>
    <t>https://www.mornsun-power.com/html/pdf/LM50-23B12R2.html</t>
  </si>
  <si>
    <t>https://www.mornsun-power.com/html/pdf/LM75-23B12R2.html</t>
  </si>
  <si>
    <t>https://www.mornsun-power.com/html/pdf/LM150-23B12R2.html</t>
  </si>
  <si>
    <t>AC/DC 200W Enclosed Switching Power Supply</t>
  </si>
  <si>
    <t>200W,5V , 176 - 264VAC</t>
  </si>
  <si>
    <t>AC/DC 350W Enclosed Switching Power Supply</t>
  </si>
  <si>
    <t>350W,5V,176 - 264VAC</t>
  </si>
  <si>
    <t>15W,3.3V ,85-305VAC</t>
  </si>
  <si>
    <t>https://www.mornsun-power.com/html/pdf/LM100-23B05R2S.html</t>
  </si>
  <si>
    <t>AC/DC 100W Enclosed Switching Power Supply</t>
  </si>
  <si>
    <t>350W,5V ,85-305VAC</t>
  </si>
  <si>
    <t>AC/DC 150W Enclosed Switching Power Supply</t>
  </si>
  <si>
    <t>150W,12V , 85-264VAC</t>
  </si>
  <si>
    <t>200W,12V , 85-264VAC</t>
  </si>
  <si>
    <t xml:space="preserve">200W,12V ,90 - 132VAC/
180 - 264VAC </t>
  </si>
  <si>
    <t>AC/DC 450W Enclosed Switching Power Supply</t>
  </si>
  <si>
    <t>100W,12V , 165 - 264VAC</t>
  </si>
  <si>
    <t>200W,12V ,  176 - 264VAC</t>
  </si>
  <si>
    <t>450W,12V ,  176 - 264VAC</t>
  </si>
  <si>
    <t>https://www.mornsun-power.com/html/pdf/LM600-12B15.html</t>
  </si>
  <si>
    <t>320W,12V , 85-264VAC</t>
  </si>
  <si>
    <t>AC/DC 150W Enclosed Switching Power Supply with PFC</t>
  </si>
  <si>
    <t>AC/DC 320W Enclosed Switching Power Supply with PFC</t>
  </si>
  <si>
    <t>100W,12V 85-305VAC</t>
  </si>
  <si>
    <t>150W,12V 85-305VAC</t>
  </si>
  <si>
    <t>200W,12V 85-305VAC</t>
  </si>
  <si>
    <t>AC/DC 100W Enclosed Switching Power Supply with PFC</t>
  </si>
  <si>
    <t>AC/DC 200W Enclosed Switching Power Supply with PFC</t>
  </si>
  <si>
    <t>320W, 12V , 85-305VAC</t>
  </si>
  <si>
    <t>https://www.mornsun-power.com/html/pdf/LM50-23B15.html</t>
  </si>
  <si>
    <t>https://www.mornsun-power.com/html/pdf/LM60-12A15.html</t>
  </si>
  <si>
    <t>https://www.mornsun-power.com/html/pdf/LMF1000-20B15.html</t>
  </si>
  <si>
    <t>https://www.mornsun-power.com/html/pdf/LM600-20B15.html</t>
  </si>
  <si>
    <t>https://www.mornsun-power.com/html/pdf/LM15-23B24.html</t>
  </si>
  <si>
    <t>https://www.mornsun-power.com/html/pdf/LM25-23B24.html</t>
  </si>
  <si>
    <t>50W,12V , 85-305VAC</t>
  </si>
  <si>
    <t>200W,12V , 85-305VAC</t>
  </si>
  <si>
    <t>AC/DC 75W Enclosed Switching Power Supply</t>
  </si>
  <si>
    <t>75W,12V , 85-305VAC</t>
  </si>
  <si>
    <t>100W,12V , 85-305VAC</t>
  </si>
  <si>
    <t>150W,12V , 85-305VAC</t>
  </si>
  <si>
    <t>AC/DC 600W Enclosed Switching Power Supply</t>
  </si>
  <si>
    <t>15W,15V ,85-305VAC</t>
  </si>
  <si>
    <t>https://www.mornsun-power.com/html/pdf/LM35-20B24.html</t>
  </si>
  <si>
    <t>https://www.mornsun-power.com/html/pdf/LM150-20B24.html</t>
  </si>
  <si>
    <t>https://www.mornsun-power.com/html/pdf/LM350-10B24.html</t>
  </si>
  <si>
    <t>https://www.mornsun-power.com/html/pdf/LM35-22B24.html</t>
  </si>
  <si>
    <t>https://www.mornsun-power.com/html/pdf/LM75-22B24.html</t>
  </si>
  <si>
    <t>https://www.mornsun-power.com/html/pdf/LM350-12B24.html</t>
  </si>
  <si>
    <t>https://www.mornsun-power.com/html/pdf/LM450-12B24.html</t>
  </si>
  <si>
    <t>50W,15V, 85-305VAC</t>
  </si>
  <si>
    <t>600W,15V,176-264VAC</t>
  </si>
  <si>
    <t>60W,15V, 165 - 264VAC</t>
  </si>
  <si>
    <t>AC/DC 60W,Dual O/P Enclosed Switching Power Supply</t>
  </si>
  <si>
    <t xml:space="preserve">AC/DC 1000W Enclosed Switching Power Supply with PFC </t>
  </si>
  <si>
    <t>1000W, 15V , 85-264VAC</t>
  </si>
  <si>
    <t>600W, 15V , 85-264VAC</t>
  </si>
  <si>
    <t>https://www.mornsun-power.com/html/pdf/LM35-23B15R2.html/</t>
  </si>
  <si>
    <t>35W, 15V ,85V-305VAC</t>
  </si>
  <si>
    <t>15W, 24V, 85-305VAC</t>
  </si>
  <si>
    <t>25W, 24V, 85-305VAC</t>
  </si>
  <si>
    <t>AC/DC 25W Enclosed Switching Power Supply</t>
  </si>
  <si>
    <t>https://www.mornsun-power.com/html/pdf/LMF500-20B24.html</t>
  </si>
  <si>
    <t>https://www.mornsun-power.com/html/pdf/LM75-23B24.html</t>
  </si>
  <si>
    <t>https://www.mornsun-power.com/html/pdf/LMF100-23B24.html</t>
  </si>
  <si>
    <t xml:space="preserve">35W,24V, 85-264 VAC </t>
  </si>
  <si>
    <t>https://www.mornsun-power.com/html/pdf/LMF600-20B24.html</t>
  </si>
  <si>
    <t>https://www.mornsun-power.com/html/pdf/LM100-23B24R2.html</t>
  </si>
  <si>
    <t>https://www.mornsun-power.com/html/pdf/LM50-20B48.html</t>
  </si>
  <si>
    <t>150W,24V, 85-264VAC</t>
  </si>
  <si>
    <t>350W, 24V,  90 - 132VAC/180- 264VAC</t>
  </si>
  <si>
    <t>35W, 24V, 165 - 264VAC</t>
  </si>
  <si>
    <t>75W, 24V, 165 - 264VAC</t>
  </si>
  <si>
    <t>75W, 48V, 165 - 264VAC</t>
  </si>
  <si>
    <t>https://www.mornsun-power.com/html/pdf/LM75-20B48.html</t>
  </si>
  <si>
    <t>https://www.mornsun-power.com/html/pdf/LM50-22B48.html</t>
  </si>
  <si>
    <t>350W, 24V, 176- 264VAC</t>
  </si>
  <si>
    <t>450W, 24V, 176- 264VAC</t>
  </si>
  <si>
    <t>100W,24V,85-264VAC,PFC</t>
  </si>
  <si>
    <t>150W,24V,85-264VAC,PFC</t>
  </si>
  <si>
    <t>320W,24V,85-264VAC,PFC</t>
  </si>
  <si>
    <t>AC/DC 500 W Enclosed Switching Power Supply with PFC</t>
  </si>
  <si>
    <t>500W,24V,85-264VAC,PFC</t>
  </si>
  <si>
    <t>https://www.mornsun-power.com/html/pdf/LMF320-23B24.html</t>
  </si>
  <si>
    <t>NA</t>
  </si>
  <si>
    <t>35W, 24V ,85V-305VAC</t>
  </si>
  <si>
    <t>50W,24V, 85-305VAC</t>
  </si>
  <si>
    <t>75W,24V , 85-305VAC</t>
  </si>
  <si>
    <t>75W,48V , 85-305VAC</t>
  </si>
  <si>
    <t>100W,24V , 85-305VAC</t>
  </si>
  <si>
    <t>100W,24V 85-305VAC</t>
  </si>
  <si>
    <t>https://www.mornsun-power.com/html/pdf/LM150-23B12.html</t>
  </si>
  <si>
    <t>150W,24V 85-305VAC</t>
  </si>
  <si>
    <t>150W,48V 85-305VAC</t>
  </si>
  <si>
    <t>https://www.mornsun-power.com/html/pdf/LM150-23B12.html/</t>
  </si>
  <si>
    <t>450W,24V ,  85-264VAC</t>
  </si>
  <si>
    <t>450W,15V ,  85-264VAC</t>
  </si>
  <si>
    <t>450W,48V ,  85-264VAC</t>
  </si>
  <si>
    <t>600W, 24V , 85-264VAC</t>
  </si>
  <si>
    <t>600W,24V, 85-264VAC</t>
  </si>
  <si>
    <t>https://www.mornsun-power.com/public/PDFJS/web/viewer.html?file=https://www.mornsun-power.com/public/uploads/certifition/LMF3000-20Bxx_CE.pd</t>
  </si>
  <si>
    <t>AC/DC 3000W Enclosed Switching Power Supply with PFC</t>
  </si>
  <si>
    <t>3000W,24V,85-264VAC</t>
  </si>
  <si>
    <t>50W,48V,85-264VAC</t>
  </si>
  <si>
    <t>75W,48V , 85-264VAC</t>
  </si>
  <si>
    <t>75W,36V , 85-264VAC</t>
  </si>
  <si>
    <t>3000W,48V,85-264VAC</t>
  </si>
  <si>
    <t>https://www.mornsun-power.com/html/pdf/LM150-23B54R2.html</t>
  </si>
  <si>
    <t xml:space="preserve">AC/DC 150W Enclosed Switching Power Supply </t>
  </si>
  <si>
    <t>150W,54V, 85-305VAC</t>
  </si>
  <si>
    <t>150W,36V, 85-264VAC</t>
  </si>
  <si>
    <t>450W, 36V, 176- 264VAC</t>
  </si>
  <si>
    <t>1000W, 36V , 85-264VAC</t>
  </si>
  <si>
    <t>https://www.mornsun-power.com/html/pdf/LM35-10D0512-10.html</t>
  </si>
  <si>
    <t>https://www.mornsun-power.com/html/pdf/LM75-10D0512-30.html</t>
  </si>
  <si>
    <t>https://www.mornsun-power.com/html/pdf/LM35-10A0512-10.html</t>
  </si>
  <si>
    <t>AC/DC 35W Dual Output Enclosed Switching Power Sup</t>
  </si>
  <si>
    <t>35W,+5V/4.0A &amp; 12V/1.0A, 85 - 264VAC</t>
  </si>
  <si>
    <t>AC/DC 75W Dual Output Enclosed Switching Power Sup</t>
  </si>
  <si>
    <t>32W, 5V/4A &amp; 12V/1A ,85 -264VAC</t>
  </si>
  <si>
    <t>75W,+5VDC/7.0A &amp; +12VDC/3.0A, 90 - 264VAC</t>
  </si>
  <si>
    <t>35W, 5V/2.2A &amp;  24V/1A, 85 -264VAC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</si>
</sst>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rgb="FF000000"/>
      <name val="Arial"/>
      <family val="2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0" xfId="1"/>
    <xf numFmtId="0" fontId="1" fillId="0" borderId="3" xfId="0" applyFont="1" applyFill="1" applyBorder="1" applyAlignment="1">
      <alignment horizontal="center"/>
    </xf>
    <xf numFmtId="0" fontId="0" fillId="0" borderId="3" xfId="0" applyBorder="1"/>
    <xf numFmtId="0" fontId="10" fillId="0" borderId="3" xfId="1" applyBorder="1"/>
    <xf numFmtId="0" fontId="2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2" xfId="0" applyFill="1" applyBorder="1"/>
    <xf numFmtId="0" fontId="0" fillId="0" borderId="13" xfId="0" applyBorder="1"/>
    <xf numFmtId="0" fontId="0" fillId="0" borderId="3" xfId="0" applyFill="1" applyBorder="1"/>
    <xf numFmtId="0" fontId="0" fillId="3" borderId="0" xfId="0" applyFill="1"/>
    <xf numFmtId="0" fontId="0" fillId="0" borderId="14" xfId="0" applyFill="1" applyBorder="1"/>
    <xf numFmtId="0" fontId="0" fillId="3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rnsun-power.com/html/pdf/LM15-23B24.html" TargetMode="External"/><Relationship Id="rId21" Type="http://schemas.openxmlformats.org/officeDocument/2006/relationships/hyperlink" Target="https://www.mornsun-power.com/html/pdf/LM50-23B15.html" TargetMode="External"/><Relationship Id="rId34" Type="http://schemas.openxmlformats.org/officeDocument/2006/relationships/hyperlink" Target="https://www.mornsun-power.com/html/pdf/LM450-12B24.html" TargetMode="External"/><Relationship Id="rId42" Type="http://schemas.openxmlformats.org/officeDocument/2006/relationships/hyperlink" Target="https://www.mornsun-power.com/html/pdf/LM75-23B24.html" TargetMode="External"/><Relationship Id="rId47" Type="http://schemas.openxmlformats.org/officeDocument/2006/relationships/hyperlink" Target="https://www.mornsun-power.com/html/pdf/LM150-23B12.html" TargetMode="External"/><Relationship Id="rId50" Type="http://schemas.openxmlformats.org/officeDocument/2006/relationships/hyperlink" Target="https://www.mornsun-power.com/html/pdf/LM450-12B12.html" TargetMode="External"/><Relationship Id="rId55" Type="http://schemas.openxmlformats.org/officeDocument/2006/relationships/hyperlink" Target="https://www.mornsun-power.com/html/pdf/LM75-22B24.html" TargetMode="External"/><Relationship Id="rId63" Type="http://schemas.openxmlformats.org/officeDocument/2006/relationships/hyperlink" Target="https://www.mornsun-power.com/html/pdf/LM450-12B24.html" TargetMode="External"/><Relationship Id="rId68" Type="http://schemas.openxmlformats.org/officeDocument/2006/relationships/hyperlink" Target="https://www.mornsun-power.com/html/pdf/LM35-10A0512-10.html" TargetMode="External"/><Relationship Id="rId7" Type="http://schemas.openxmlformats.org/officeDocument/2006/relationships/hyperlink" Target="https://www.mornsun-power.com/html/pdf/LM100-23B05R2S.html" TargetMode="External"/><Relationship Id="rId2" Type="http://schemas.openxmlformats.org/officeDocument/2006/relationships/hyperlink" Target="https://www.mornsun-power.com/html/pdf/LM50-23B05.html/" TargetMode="External"/><Relationship Id="rId16" Type="http://schemas.openxmlformats.org/officeDocument/2006/relationships/hyperlink" Target="https://www.mornsun-power.com/html/pdf/LM75-23B12R2.html" TargetMode="External"/><Relationship Id="rId29" Type="http://schemas.openxmlformats.org/officeDocument/2006/relationships/hyperlink" Target="https://www.mornsun-power.com/html/pdf/LM150-20B24.html" TargetMode="External"/><Relationship Id="rId11" Type="http://schemas.openxmlformats.org/officeDocument/2006/relationships/hyperlink" Target="https://www.mornsun-power.com/html/pdf/LM200-12B12.html" TargetMode="External"/><Relationship Id="rId24" Type="http://schemas.openxmlformats.org/officeDocument/2006/relationships/hyperlink" Target="https://www.mornsun-power.com/html/pdf/LM450-12B12.html" TargetMode="External"/><Relationship Id="rId32" Type="http://schemas.openxmlformats.org/officeDocument/2006/relationships/hyperlink" Target="https://www.mornsun-power.com/html/pdf/LM75-22B24.html" TargetMode="External"/><Relationship Id="rId37" Type="http://schemas.openxmlformats.org/officeDocument/2006/relationships/hyperlink" Target="https://www.mornsun-power.com/html/pdf/LMF320-23B24.html" TargetMode="External"/><Relationship Id="rId40" Type="http://schemas.openxmlformats.org/officeDocument/2006/relationships/hyperlink" Target="https://www.mornsun-power.com/html/pdf/LM75-23B12R2.html" TargetMode="External"/><Relationship Id="rId45" Type="http://schemas.openxmlformats.org/officeDocument/2006/relationships/hyperlink" Target="https://www.mornsun-power.com/html/pdf/LMF100-23B24.html" TargetMode="External"/><Relationship Id="rId53" Type="http://schemas.openxmlformats.org/officeDocument/2006/relationships/hyperlink" Target="https://www.mornsun-power.com/public/PDFJS/web/viewer.html?file=https://www.mornsun-power.com/public/uploads/certifition/LMF3000-20Bxx_CE.pd" TargetMode="External"/><Relationship Id="rId58" Type="http://schemas.openxmlformats.org/officeDocument/2006/relationships/hyperlink" Target="https://www.mornsun-power.com/html/pdf/LM50-22B48.html" TargetMode="External"/><Relationship Id="rId66" Type="http://schemas.openxmlformats.org/officeDocument/2006/relationships/hyperlink" Target="https://www.mornsun-power.com/html/pdf/LM75-10D0512-30.html" TargetMode="External"/><Relationship Id="rId5" Type="http://schemas.openxmlformats.org/officeDocument/2006/relationships/hyperlink" Target="https://www.mornsun-power.com/html/pdf/LM350-12B05.html/" TargetMode="External"/><Relationship Id="rId61" Type="http://schemas.openxmlformats.org/officeDocument/2006/relationships/hyperlink" Target="https://www.mornsun-power.com/html/pdf/LMF320-23B24.html" TargetMode="External"/><Relationship Id="rId19" Type="http://schemas.openxmlformats.org/officeDocument/2006/relationships/hyperlink" Target="https://www.mornsun-power.com/html/pdf/LM600-12B15.html" TargetMode="External"/><Relationship Id="rId14" Type="http://schemas.openxmlformats.org/officeDocument/2006/relationships/hyperlink" Target="https://www.mornsun-power.com/html/pdf/LM200-20B12R2.html" TargetMode="External"/><Relationship Id="rId22" Type="http://schemas.openxmlformats.org/officeDocument/2006/relationships/hyperlink" Target="https://www.mornsun-power.com/html/pdf/LM60-12A15.html" TargetMode="External"/><Relationship Id="rId27" Type="http://schemas.openxmlformats.org/officeDocument/2006/relationships/hyperlink" Target="https://www.mornsun-power.com/html/pdf/LM25-23B24.html" TargetMode="External"/><Relationship Id="rId30" Type="http://schemas.openxmlformats.org/officeDocument/2006/relationships/hyperlink" Target="https://www.mornsun-power.com/html/pdf/LM350-10B24.html" TargetMode="External"/><Relationship Id="rId35" Type="http://schemas.openxmlformats.org/officeDocument/2006/relationships/hyperlink" Target="https://www.mornsun-power.com/html/pdf/LMF500-20B24.html" TargetMode="External"/><Relationship Id="rId43" Type="http://schemas.openxmlformats.org/officeDocument/2006/relationships/hyperlink" Target="https://www.mornsun-power.com/html/pdf/LM100-23B12.html" TargetMode="External"/><Relationship Id="rId48" Type="http://schemas.openxmlformats.org/officeDocument/2006/relationships/hyperlink" Target="https://www.mornsun-power.com/html/pdf/LM150-23B12.html/" TargetMode="External"/><Relationship Id="rId56" Type="http://schemas.openxmlformats.org/officeDocument/2006/relationships/hyperlink" Target="https://www.mornsun-power.com/html/pdf/LM75-20B48.html" TargetMode="External"/><Relationship Id="rId64" Type="http://schemas.openxmlformats.org/officeDocument/2006/relationships/hyperlink" Target="https://www.mornsun-power.com/html/pdf/LMF1000-20B15.html" TargetMode="External"/><Relationship Id="rId8" Type="http://schemas.openxmlformats.org/officeDocument/2006/relationships/hyperlink" Target="https://www.mornsun-power.com/html/pdf/LM150-20B12.html/" TargetMode="External"/><Relationship Id="rId51" Type="http://schemas.openxmlformats.org/officeDocument/2006/relationships/hyperlink" Target="https://www.mornsun-power.com/html/pdf/LM450-12B12.html" TargetMode="External"/><Relationship Id="rId3" Type="http://schemas.openxmlformats.org/officeDocument/2006/relationships/hyperlink" Target="https://www.mornsun-power.com/html/pdf/LM35-20B05.html/" TargetMode="External"/><Relationship Id="rId12" Type="http://schemas.openxmlformats.org/officeDocument/2006/relationships/hyperlink" Target="https://www.mornsun-power.com/html/pdf/LM450-12B12.html" TargetMode="External"/><Relationship Id="rId17" Type="http://schemas.openxmlformats.org/officeDocument/2006/relationships/hyperlink" Target="https://www.mornsun-power.com/html/pdf/LM150-23B12R2.html" TargetMode="External"/><Relationship Id="rId25" Type="http://schemas.openxmlformats.org/officeDocument/2006/relationships/hyperlink" Target="https://www.mornsun-power.com/html/pdf/LM35-23B15R2.html/" TargetMode="External"/><Relationship Id="rId33" Type="http://schemas.openxmlformats.org/officeDocument/2006/relationships/hyperlink" Target="https://www.mornsun-power.com/html/pdf/LM350-12B24.html" TargetMode="External"/><Relationship Id="rId38" Type="http://schemas.openxmlformats.org/officeDocument/2006/relationships/hyperlink" Target="https://www.mornsun-power.com/html/pdf/LM35-23B15R2.html/" TargetMode="External"/><Relationship Id="rId46" Type="http://schemas.openxmlformats.org/officeDocument/2006/relationships/hyperlink" Target="https://www.mornsun-power.com/html/pdf/LMF100-23B24.html" TargetMode="External"/><Relationship Id="rId59" Type="http://schemas.openxmlformats.org/officeDocument/2006/relationships/hyperlink" Target="https://www.mornsun-power.com/public/PDFJS/web/viewer.html?file=https://www.mornsun-power.com/public/uploads/certifition/LMF3000-20Bxx_CE.pd" TargetMode="External"/><Relationship Id="rId67" Type="http://schemas.openxmlformats.org/officeDocument/2006/relationships/hyperlink" Target="https://www.mornsun-power.com/html/pdf/LM35-10A0512-10.html" TargetMode="External"/><Relationship Id="rId20" Type="http://schemas.openxmlformats.org/officeDocument/2006/relationships/hyperlink" Target="https://www.mornsun-power.com/html/pdf/LM15-23B03.html" TargetMode="External"/><Relationship Id="rId41" Type="http://schemas.openxmlformats.org/officeDocument/2006/relationships/hyperlink" Target="https://www.mornsun-power.com/html/pdf/LM75-23B24.html" TargetMode="External"/><Relationship Id="rId54" Type="http://schemas.openxmlformats.org/officeDocument/2006/relationships/hyperlink" Target="https://www.mornsun-power.com/html/pdf/LM50-20B48.html" TargetMode="External"/><Relationship Id="rId62" Type="http://schemas.openxmlformats.org/officeDocument/2006/relationships/hyperlink" Target="https://www.mornsun-power.com/html/pdf/LM150-20B24.html" TargetMode="External"/><Relationship Id="rId1" Type="http://schemas.openxmlformats.org/officeDocument/2006/relationships/hyperlink" Target="https://www.mornsun-power.com/html/pdf/LM15-23B05.html/" TargetMode="External"/><Relationship Id="rId6" Type="http://schemas.openxmlformats.org/officeDocument/2006/relationships/hyperlink" Target="https://www.mornsun-power.com/html/pdf/LM15-23B03.html" TargetMode="External"/><Relationship Id="rId15" Type="http://schemas.openxmlformats.org/officeDocument/2006/relationships/hyperlink" Target="https://www.mornsun-power.com/html/pdf/LM50-23B12R2.html" TargetMode="External"/><Relationship Id="rId23" Type="http://schemas.openxmlformats.org/officeDocument/2006/relationships/hyperlink" Target="https://www.mornsun-power.com/html/pdf/LMF1000-20B15.html" TargetMode="External"/><Relationship Id="rId28" Type="http://schemas.openxmlformats.org/officeDocument/2006/relationships/hyperlink" Target="https://www.mornsun-power.com/html/pdf/LM35-20B24.html" TargetMode="External"/><Relationship Id="rId36" Type="http://schemas.openxmlformats.org/officeDocument/2006/relationships/hyperlink" Target="https://www.mornsun-power.com/html/pdf/LMF320-23B24.html" TargetMode="External"/><Relationship Id="rId49" Type="http://schemas.openxmlformats.org/officeDocument/2006/relationships/hyperlink" Target="https://www.mornsun-power.com/html/pdf/LM150-23B12.html/" TargetMode="External"/><Relationship Id="rId57" Type="http://schemas.openxmlformats.org/officeDocument/2006/relationships/hyperlink" Target="https://www.mornsun-power.com/html/pdf/LM75-20B48.html" TargetMode="External"/><Relationship Id="rId10" Type="http://schemas.openxmlformats.org/officeDocument/2006/relationships/hyperlink" Target="https://www.mornsun-power.com/html/pdf/LM100-22B12.html" TargetMode="External"/><Relationship Id="rId31" Type="http://schemas.openxmlformats.org/officeDocument/2006/relationships/hyperlink" Target="https://www.mornsun-power.com/html/pdf/LM35-22B24.html" TargetMode="External"/><Relationship Id="rId44" Type="http://schemas.openxmlformats.org/officeDocument/2006/relationships/hyperlink" Target="https://www.mornsun-power.com/html/pdf/LM100-23B12.html" TargetMode="External"/><Relationship Id="rId52" Type="http://schemas.openxmlformats.org/officeDocument/2006/relationships/hyperlink" Target="https://www.mornsun-power.com/html/pdf/LMF600-20B24.html" TargetMode="External"/><Relationship Id="rId60" Type="http://schemas.openxmlformats.org/officeDocument/2006/relationships/hyperlink" Target="https://www.mornsun-power.com/html/pdf/LM150-23B54R2.html" TargetMode="External"/><Relationship Id="rId65" Type="http://schemas.openxmlformats.org/officeDocument/2006/relationships/hyperlink" Target="https://www.mornsun-power.com/html/pdf/LM35-10D0512-10.html" TargetMode="External"/><Relationship Id="rId4" Type="http://schemas.openxmlformats.org/officeDocument/2006/relationships/hyperlink" Target="https://www.mornsun-power.com/html/pdf/LM200-12B05.html" TargetMode="External"/><Relationship Id="rId9" Type="http://schemas.openxmlformats.org/officeDocument/2006/relationships/hyperlink" Target="https://www.mornsun-power.com/html/pdf/LM200-10B12.html" TargetMode="External"/><Relationship Id="rId13" Type="http://schemas.openxmlformats.org/officeDocument/2006/relationships/hyperlink" Target="https://www.mornsun-power.com/html/pdf/LM100-23B12.html" TargetMode="External"/><Relationship Id="rId18" Type="http://schemas.openxmlformats.org/officeDocument/2006/relationships/hyperlink" Target="https://www.mornsun-power.com/html/pdf/LM200-20B12R2.html/" TargetMode="External"/><Relationship Id="rId39" Type="http://schemas.openxmlformats.org/officeDocument/2006/relationships/hyperlink" Target="https://www.mornsun-power.com/html/pdf/LM50-23B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>
      <selection activeCell="A78" sqref="A78"/>
    </sheetView>
  </sheetViews>
  <sheetFormatPr defaultRowHeight="14.4" x14ac:dyDescent="0.3"/>
  <cols>
    <col min="1" max="1" width="19.88671875" bestFit="1" customWidth="1"/>
    <col min="2" max="2" width="10.33203125" bestFit="1" customWidth="1"/>
    <col min="3" max="3" width="10" bestFit="1" customWidth="1"/>
    <col min="4" max="4" width="47.109375" bestFit="1" customWidth="1"/>
    <col min="5" max="5" width="38" bestFit="1" customWidth="1"/>
    <col min="6" max="6" width="54.44140625" bestFit="1" customWidth="1"/>
  </cols>
  <sheetData>
    <row r="1" spans="1:6" ht="15.6" x14ac:dyDescent="0.3">
      <c r="A1" s="43" t="s">
        <v>0</v>
      </c>
      <c r="B1" s="43" t="s">
        <v>130</v>
      </c>
      <c r="C1" s="43" t="s">
        <v>131</v>
      </c>
      <c r="D1" s="39" t="s">
        <v>133</v>
      </c>
      <c r="E1" s="39" t="s">
        <v>134</v>
      </c>
      <c r="F1" s="39" t="s">
        <v>143</v>
      </c>
    </row>
    <row r="2" spans="1:6" x14ac:dyDescent="0.3">
      <c r="A2" s="2" t="s">
        <v>1</v>
      </c>
      <c r="B2" s="2">
        <f>1</f>
        <v>1</v>
      </c>
      <c r="C2" s="40" t="s">
        <v>132</v>
      </c>
      <c r="D2" s="40" t="s">
        <v>144</v>
      </c>
      <c r="E2" s="40" t="s">
        <v>135</v>
      </c>
      <c r="F2" s="41" t="s">
        <v>137</v>
      </c>
    </row>
    <row r="3" spans="1:6" x14ac:dyDescent="0.3">
      <c r="A3" s="1" t="s">
        <v>6</v>
      </c>
      <c r="B3" s="3">
        <f>157+100-120-3-2-4+1-2-5-30-10+1-40</f>
        <v>43</v>
      </c>
      <c r="C3" t="s">
        <v>132</v>
      </c>
      <c r="D3" t="s">
        <v>144</v>
      </c>
      <c r="E3" s="44" t="s">
        <v>163</v>
      </c>
      <c r="F3" s="38" t="s">
        <v>149</v>
      </c>
    </row>
    <row r="4" spans="1:6" x14ac:dyDescent="0.3">
      <c r="A4" s="2" t="s">
        <v>2</v>
      </c>
      <c r="B4" s="2">
        <f>1000-500-52-2-50-3-104-5-1-5-52-104-1-2-30-85-2-1</f>
        <v>1</v>
      </c>
      <c r="C4" s="40" t="s">
        <v>132</v>
      </c>
      <c r="D4" s="40" t="s">
        <v>145</v>
      </c>
      <c r="E4" s="40" t="s">
        <v>136</v>
      </c>
      <c r="F4" s="41" t="s">
        <v>138</v>
      </c>
    </row>
    <row r="5" spans="1:6" x14ac:dyDescent="0.3">
      <c r="A5" s="2" t="s">
        <v>3</v>
      </c>
      <c r="B5" s="2">
        <f>319-10-52-52-5-52-52-30-2-20+1-4-15-2-8-10-1-5+1</f>
        <v>1</v>
      </c>
      <c r="C5" s="40" t="s">
        <v>132</v>
      </c>
      <c r="D5" s="40" t="s">
        <v>147</v>
      </c>
      <c r="E5" s="40" t="s">
        <v>146</v>
      </c>
      <c r="F5" s="41" t="s">
        <v>139</v>
      </c>
    </row>
    <row r="6" spans="1:6" x14ac:dyDescent="0.3">
      <c r="A6" s="2" t="s">
        <v>4</v>
      </c>
      <c r="B6" s="2">
        <f>100-3-80-5-12+500-250-250+250-5-26-10-26-26-5-26-26-10-3-1-10-10-5-6</f>
        <v>55</v>
      </c>
      <c r="C6" s="45" t="s">
        <v>132</v>
      </c>
      <c r="D6" s="40" t="s">
        <v>159</v>
      </c>
      <c r="E6" s="40" t="s">
        <v>160</v>
      </c>
      <c r="F6" s="41" t="s">
        <v>148</v>
      </c>
    </row>
    <row r="7" spans="1:6" x14ac:dyDescent="0.3">
      <c r="A7" s="10" t="s">
        <v>5</v>
      </c>
      <c r="B7" s="42">
        <f>31-31+2000-419-399-19-19-304-200-175-460+1000+1000-200-19-(38)-19-10-266-250-1-20-300-19-8-250-500-105+190-190+209-209+14-12+270-270+1986-38-511-2-5-5+391-354-304-30-5-950-152+9+143+391-6-475+457-232-32-50-72+700-5-10-5-5-1-2-1-2-3-5-30</f>
        <v>787</v>
      </c>
      <c r="C7" t="s">
        <v>132</v>
      </c>
      <c r="D7" s="40" t="s">
        <v>161</v>
      </c>
      <c r="E7" s="46" t="s">
        <v>162</v>
      </c>
      <c r="F7" s="38" t="s">
        <v>140</v>
      </c>
    </row>
    <row r="8" spans="1:6" ht="15" thickBot="1" x14ac:dyDescent="0.35">
      <c r="A8" s="4" t="s">
        <v>7</v>
      </c>
      <c r="B8" s="5">
        <f>150-60-10-5-15-5-50-1-1-1+100-20-60-5-5-10-2+2</f>
        <v>2</v>
      </c>
      <c r="C8" t="s">
        <v>132</v>
      </c>
      <c r="D8" s="40" t="s">
        <v>165</v>
      </c>
      <c r="E8" s="40" t="s">
        <v>166</v>
      </c>
      <c r="F8" s="41" t="s">
        <v>164</v>
      </c>
    </row>
    <row r="9" spans="1:6" x14ac:dyDescent="0.3">
      <c r="A9" s="1" t="s">
        <v>8</v>
      </c>
      <c r="B9" s="2">
        <f>735-14-56-28-20-56-50-28-5-5-15-28-28-28-1-28-30-10-2-10-84-6-20-10-22-1-10-25-25-1-20-3-28-28+2-10</f>
        <v>2</v>
      </c>
      <c r="C9" t="s">
        <v>132</v>
      </c>
      <c r="D9" s="40" t="s">
        <v>167</v>
      </c>
      <c r="E9" t="s">
        <v>168</v>
      </c>
      <c r="F9" s="38" t="s">
        <v>141</v>
      </c>
    </row>
    <row r="10" spans="1:6" x14ac:dyDescent="0.3">
      <c r="A10" s="1" t="s">
        <v>9</v>
      </c>
      <c r="B10" s="2">
        <f>1141-156-1-28-6-26-5-6-1-1-10-26-2-4-26-1-15-15-2-5-10-26-1-12-2-20+9-25-25-30-15-15-2-16-20-15-26-1-26-1-15-5-208-5-10-26-20-17-25-52-130-2-5</f>
        <v>6</v>
      </c>
      <c r="C10" t="s">
        <v>132</v>
      </c>
      <c r="D10" s="40" t="s">
        <v>159</v>
      </c>
      <c r="E10" t="s">
        <v>170</v>
      </c>
      <c r="F10" s="38" t="s">
        <v>150</v>
      </c>
    </row>
    <row r="11" spans="1:6" x14ac:dyDescent="0.3">
      <c r="A11" s="1" t="s">
        <v>10</v>
      </c>
      <c r="B11" s="2">
        <f>894+2000-36-10-3-36-10-5-1-30-20-1-20-1-36-15-36-30-6-2-10-5-1-72-1-10-3-36+1000-3-36-15-2-2-1-10-10-216-2-2952+38-10-1-5-36-20+1260-1</f>
        <v>1434</v>
      </c>
      <c r="C11" t="s">
        <v>132</v>
      </c>
      <c r="D11" s="40" t="s">
        <v>165</v>
      </c>
      <c r="E11" t="s">
        <v>172</v>
      </c>
      <c r="F11" s="38" t="s">
        <v>151</v>
      </c>
    </row>
    <row r="12" spans="1:6" x14ac:dyDescent="0.3">
      <c r="A12" s="1" t="s">
        <v>11</v>
      </c>
      <c r="B12" s="2">
        <f>1987-1-12-10-20-26-5-5-5-10-10-10-2-1-1-2-1-3-1-26-26-2-26-30-4-5-2-3-5-26-1-10-5-26-10-6-5-4-26-26-1-10-6+1000-5-26-5-15-3-26-6-4-26-5-1-4-10-10-3-10-10-4-10-5-2-5-3-5-10-12-3-25-10-10-10-2</f>
        <v>2286</v>
      </c>
      <c r="C12" t="s">
        <v>132</v>
      </c>
      <c r="D12" s="40" t="s">
        <v>159</v>
      </c>
      <c r="E12" t="s">
        <v>173</v>
      </c>
      <c r="F12" s="38" t="s">
        <v>152</v>
      </c>
    </row>
    <row r="13" spans="1:6" x14ac:dyDescent="0.3">
      <c r="A13" s="1" t="s">
        <v>12</v>
      </c>
      <c r="B13" s="2">
        <f>-19-10+50+300-3-19-10-6-2-3-10-1-2-1-3-10-5-3-1-10-2-10-1-1-10</f>
        <v>208</v>
      </c>
      <c r="C13" t="s">
        <v>132</v>
      </c>
      <c r="D13" s="40" t="s">
        <v>171</v>
      </c>
      <c r="E13" t="s">
        <v>174</v>
      </c>
      <c r="F13" s="38" t="s">
        <v>153</v>
      </c>
    </row>
    <row r="14" spans="1:6" x14ac:dyDescent="0.3">
      <c r="A14" s="1" t="s">
        <v>13</v>
      </c>
      <c r="B14" s="2">
        <f>46-6-1</f>
        <v>39</v>
      </c>
      <c r="C14" t="s">
        <v>132</v>
      </c>
      <c r="D14" s="40" t="s">
        <v>177</v>
      </c>
      <c r="E14" t="s">
        <v>168</v>
      </c>
    </row>
    <row r="15" spans="1:6" x14ac:dyDescent="0.3">
      <c r="A15" s="1" t="s">
        <v>14</v>
      </c>
      <c r="B15" s="2">
        <f>39+4-6-1</f>
        <v>36</v>
      </c>
      <c r="C15" t="s">
        <v>132</v>
      </c>
      <c r="D15" s="40" t="s">
        <v>178</v>
      </c>
      <c r="E15" t="s">
        <v>176</v>
      </c>
      <c r="F15" s="38" t="s">
        <v>239</v>
      </c>
    </row>
    <row r="16" spans="1:6" x14ac:dyDescent="0.3">
      <c r="A16" s="1" t="s">
        <v>15</v>
      </c>
      <c r="B16" s="6">
        <f>36-3-33+1+25-25-50+50-62+62-1+88-37-17-5-17-3-9+200-57-28-15-23-50+2</f>
        <v>29</v>
      </c>
      <c r="C16" t="s">
        <v>132</v>
      </c>
      <c r="D16" s="40" t="s">
        <v>165</v>
      </c>
      <c r="E16" t="s">
        <v>179</v>
      </c>
      <c r="F16" s="38" t="s">
        <v>154</v>
      </c>
    </row>
    <row r="17" spans="1:6" x14ac:dyDescent="0.3">
      <c r="A17" s="1" t="s">
        <v>16</v>
      </c>
      <c r="B17" s="3">
        <f>100-2-6+2</f>
        <v>94</v>
      </c>
      <c r="C17" t="s">
        <v>132</v>
      </c>
      <c r="D17" s="40" t="s">
        <v>182</v>
      </c>
      <c r="E17" t="s">
        <v>179</v>
      </c>
      <c r="F17" s="38" t="s">
        <v>220</v>
      </c>
    </row>
    <row r="18" spans="1:6" x14ac:dyDescent="0.3">
      <c r="A18" s="1" t="s">
        <v>17</v>
      </c>
      <c r="B18" s="2">
        <f>26-4-2-2-18+1</f>
        <v>1</v>
      </c>
      <c r="C18" t="s">
        <v>132</v>
      </c>
      <c r="D18" s="40" t="s">
        <v>177</v>
      </c>
      <c r="E18" t="s">
        <v>180</v>
      </c>
      <c r="F18" s="38" t="s">
        <v>247</v>
      </c>
    </row>
    <row r="19" spans="1:6" x14ac:dyDescent="0.3">
      <c r="A19" s="1" t="s">
        <v>18</v>
      </c>
      <c r="B19" s="3">
        <f>10-6+100+90-1-1-110-1-1-1-10-2-2-2</f>
        <v>63</v>
      </c>
      <c r="C19" t="s">
        <v>132</v>
      </c>
      <c r="D19" s="40" t="s">
        <v>183</v>
      </c>
      <c r="E19" t="s">
        <v>181</v>
      </c>
    </row>
    <row r="20" spans="1:6" x14ac:dyDescent="0.3">
      <c r="A20" s="1" t="s">
        <v>19</v>
      </c>
      <c r="B20" s="3">
        <f>17-2+50+50-200+100-1-1-1-6-124+200-1-2-76+190-190+150-153+260+90-153-93-11+500-385-2-1-2-2-3</f>
        <v>198</v>
      </c>
      <c r="C20" t="s">
        <v>132</v>
      </c>
      <c r="D20" s="40" t="s">
        <v>178</v>
      </c>
      <c r="E20" t="s">
        <v>184</v>
      </c>
    </row>
    <row r="21" spans="1:6" x14ac:dyDescent="0.3">
      <c r="A21" s="1" t="s">
        <v>20</v>
      </c>
      <c r="B21" s="2">
        <f>608-1</f>
        <v>607</v>
      </c>
      <c r="C21" t="s">
        <v>132</v>
      </c>
      <c r="D21" s="40" t="s">
        <v>159</v>
      </c>
      <c r="E21" t="s">
        <v>169</v>
      </c>
      <c r="F21" s="38" t="s">
        <v>155</v>
      </c>
    </row>
    <row r="22" spans="1:6" x14ac:dyDescent="0.3">
      <c r="A22" s="1" t="s">
        <v>21</v>
      </c>
      <c r="B22" s="7">
        <f>600-84-84-1-84-336-11+168-84-82+400-400+832-832+1000+1000-2-5-84-50-252-15-20-20-588-84-2+1000-50-5-168-84-50-84-20-10-5+168-252-168-168-17-20-84-150-5-252-50-252-5-1-84+1000-252-10-10-5-50-84-2-3-30-168-425-10-15+1</f>
        <v>1</v>
      </c>
      <c r="C22" t="s">
        <v>132</v>
      </c>
      <c r="D22" s="40" t="s">
        <v>145</v>
      </c>
      <c r="E22" t="s">
        <v>191</v>
      </c>
      <c r="F22" s="38" t="s">
        <v>156</v>
      </c>
    </row>
    <row r="23" spans="1:6" x14ac:dyDescent="0.3">
      <c r="A23" s="1" t="s">
        <v>22</v>
      </c>
      <c r="B23" s="3">
        <f>2121</f>
        <v>2121</v>
      </c>
      <c r="C23" t="s">
        <v>132</v>
      </c>
      <c r="D23" s="40" t="s">
        <v>193</v>
      </c>
      <c r="E23" t="s">
        <v>194</v>
      </c>
      <c r="F23" s="38" t="s">
        <v>157</v>
      </c>
    </row>
    <row r="24" spans="1:6" x14ac:dyDescent="0.3">
      <c r="A24" s="1" t="s">
        <v>23</v>
      </c>
      <c r="B24" s="3">
        <f>695-60-1-5-1-1-60+640-4-300-1-10-18-1-60+1000-60-1-5-4-60-5-15-10-2-60-50-60+1-12-5-15-7-2</f>
        <v>1441</v>
      </c>
      <c r="C24" t="s">
        <v>132</v>
      </c>
      <c r="D24" s="40" t="s">
        <v>165</v>
      </c>
      <c r="E24" t="s">
        <v>195</v>
      </c>
      <c r="F24" s="38" t="s">
        <v>154</v>
      </c>
    </row>
    <row r="25" spans="1:6" x14ac:dyDescent="0.3">
      <c r="A25" s="1" t="s">
        <v>24</v>
      </c>
      <c r="B25" s="3">
        <f>528-180-1-1-1-20-60-1-20-40-5-1-1-1-60-60-25-40-11+1000-85-78-1-3-10-1-1-5-60-34-5-20-100-12-12-4-100-10+198-30-1-5-60-240-30+302-120-120-10-20-150-16-4-60-60-33+2-1</f>
        <v>1</v>
      </c>
      <c r="C25" t="s">
        <v>132</v>
      </c>
      <c r="D25" s="40" t="s">
        <v>167</v>
      </c>
      <c r="E25" t="s">
        <v>196</v>
      </c>
      <c r="F25" s="38" t="s">
        <v>158</v>
      </c>
    </row>
    <row r="26" spans="1:6" x14ac:dyDescent="0.3">
      <c r="A26" s="8" t="s">
        <v>25</v>
      </c>
      <c r="B26" s="3">
        <f>948-5-5-33-20-2-2-3</f>
        <v>878</v>
      </c>
      <c r="C26" t="s">
        <v>132</v>
      </c>
      <c r="D26" s="40" t="s">
        <v>159</v>
      </c>
      <c r="E26" t="s">
        <v>192</v>
      </c>
      <c r="F26" s="38" t="s">
        <v>142</v>
      </c>
    </row>
    <row r="27" spans="1:6" x14ac:dyDescent="0.3">
      <c r="A27" s="1" t="s">
        <v>26</v>
      </c>
      <c r="B27" s="9">
        <f>710-48-16-50-1-144-4-8-5-8-3-1-18-3-10-3-48-2-2-2-1-8-5+20+160-11-10</f>
        <v>479</v>
      </c>
      <c r="C27" t="s">
        <v>132</v>
      </c>
      <c r="D27" s="40" t="s">
        <v>197</v>
      </c>
      <c r="E27" t="s">
        <v>207</v>
      </c>
      <c r="F27" s="38" t="s">
        <v>175</v>
      </c>
    </row>
    <row r="28" spans="1:6" x14ac:dyDescent="0.3">
      <c r="A28" s="8" t="s">
        <v>27</v>
      </c>
      <c r="B28" s="3">
        <f>175+100-120-1-10-1-1-50-92+10-10+110+90-1</f>
        <v>199</v>
      </c>
      <c r="C28" t="s">
        <v>132</v>
      </c>
      <c r="D28" s="40" t="s">
        <v>144</v>
      </c>
      <c r="E28" s="44" t="s">
        <v>198</v>
      </c>
      <c r="F28" s="38" t="s">
        <v>149</v>
      </c>
    </row>
    <row r="29" spans="1:6" x14ac:dyDescent="0.3">
      <c r="A29" s="8" t="s">
        <v>28</v>
      </c>
      <c r="B29" s="3">
        <f>1+2</f>
        <v>3</v>
      </c>
      <c r="C29" t="s">
        <v>132</v>
      </c>
      <c r="D29" s="40" t="s">
        <v>145</v>
      </c>
      <c r="E29" s="48" t="s">
        <v>206</v>
      </c>
      <c r="F29" s="38" t="s">
        <v>185</v>
      </c>
    </row>
    <row r="30" spans="1:6" x14ac:dyDescent="0.3">
      <c r="A30" s="8" t="s">
        <v>29</v>
      </c>
      <c r="B30" s="3">
        <f>54-1-20-15-1-2-10-2-3+200-48-5-10+200-2-48-48-96-10-2-2-2-6-1-17-2-10-10-48-2-10-2-1-15-3+200-48-25-30-48-5-6-25-13+200-2-25-10-15+500-3-10-100-1-10-2-1-2-5-48-30-10-10-10-10-10-48-6-10-20-30-20-3-30-75-5-30-20-2-30-2-40-10-5+1</f>
        <v>1</v>
      </c>
      <c r="C30" t="s">
        <v>132</v>
      </c>
      <c r="D30" s="40" t="s">
        <v>209</v>
      </c>
      <c r="E30" s="48" t="s">
        <v>208</v>
      </c>
      <c r="F30" s="38" t="s">
        <v>186</v>
      </c>
    </row>
    <row r="31" spans="1:6" x14ac:dyDescent="0.3">
      <c r="A31" s="8" t="s">
        <v>30</v>
      </c>
      <c r="B31" s="3">
        <f>42-40+58-58-1-1+100+19-4</f>
        <v>115</v>
      </c>
      <c r="C31" t="s">
        <v>132</v>
      </c>
      <c r="D31" s="40" t="s">
        <v>210</v>
      </c>
      <c r="E31" s="48" t="s">
        <v>211</v>
      </c>
      <c r="F31" s="38" t="s">
        <v>187</v>
      </c>
    </row>
    <row r="32" spans="1:6" x14ac:dyDescent="0.3">
      <c r="A32" s="8" t="s">
        <v>31</v>
      </c>
      <c r="B32" s="3">
        <f>1000-60-18-2-50-120-1-60-40-40-10-15-30-2-3-3-30-2-20-54-5-20-36-100-10-20-20-10-100-4-4-25-50-10-5-20</f>
        <v>1</v>
      </c>
      <c r="C32" t="s">
        <v>132</v>
      </c>
      <c r="D32" s="40" t="s">
        <v>171</v>
      </c>
      <c r="E32" t="s">
        <v>252</v>
      </c>
      <c r="F32" s="38" t="s">
        <v>153</v>
      </c>
    </row>
    <row r="33" spans="1:6" x14ac:dyDescent="0.3">
      <c r="A33" s="8" t="s">
        <v>32</v>
      </c>
      <c r="B33" s="3">
        <f>727-10-10-10-8-10-10-8-36-25-20-60-100-4-2-3-20-1-10-20-100-100</f>
        <v>160</v>
      </c>
      <c r="C33" t="s">
        <v>132</v>
      </c>
      <c r="D33" s="40" t="s">
        <v>197</v>
      </c>
      <c r="E33" t="s">
        <v>212</v>
      </c>
      <c r="F33" s="38" t="s">
        <v>188</v>
      </c>
    </row>
    <row r="34" spans="1:6" x14ac:dyDescent="0.3">
      <c r="A34" s="1" t="s">
        <v>33</v>
      </c>
      <c r="B34" s="3">
        <f>-84+130-46+75-5-5-45-2-1-2</f>
        <v>15</v>
      </c>
      <c r="C34" t="s">
        <v>132</v>
      </c>
      <c r="D34" s="40" t="s">
        <v>147</v>
      </c>
      <c r="E34" t="s">
        <v>214</v>
      </c>
      <c r="F34" s="38" t="s">
        <v>213</v>
      </c>
    </row>
    <row r="35" spans="1:6" x14ac:dyDescent="0.3">
      <c r="A35" s="10" t="s">
        <v>34</v>
      </c>
      <c r="B35" s="11">
        <f>3000-3000+1+2000+1008-120-7-5-3-2-120-3-3-5-5-10-5-2-5-10-1-20-50-8-2-2000-50-26-500-7-2-38+1000-360-162-45-400-2-10-5-10-5+2000-1200-25-500-8-240-3-5-8-5+600-600+3000-120-10-10-10-2-22+2000-61-10-19-15-20-120-70-240-5-6-4-6-5-240-5-10-240-10-3-12-13-7-100-12-120-10-5-20-100-3-5-20-5-10-25-170-30-7-10-190-1200+1-15-10-300-20-120-10-5-100-5-120-360-5-25-5-5-10-21-100-25-260-15-120-13</f>
        <v>2</v>
      </c>
      <c r="C35" t="s">
        <v>132</v>
      </c>
      <c r="D35" s="40" t="s">
        <v>144</v>
      </c>
      <c r="E35" t="s">
        <v>215</v>
      </c>
      <c r="F35" s="38" t="s">
        <v>189</v>
      </c>
    </row>
    <row r="36" spans="1:6" x14ac:dyDescent="0.3">
      <c r="A36" s="1" t="s">
        <v>35</v>
      </c>
      <c r="B36" s="12">
        <f>302-72</f>
        <v>230</v>
      </c>
      <c r="C36" t="s">
        <v>132</v>
      </c>
      <c r="D36" s="40" t="s">
        <v>217</v>
      </c>
      <c r="E36" t="s">
        <v>216</v>
      </c>
      <c r="F36" s="38" t="s">
        <v>190</v>
      </c>
    </row>
    <row r="37" spans="1:6" x14ac:dyDescent="0.3">
      <c r="A37" s="1" t="s">
        <v>36</v>
      </c>
      <c r="B37" s="12">
        <f>666+500-104-1-156-260+500-1-52-1-25-5-1-2-39-10-240-3+1000-10-20-52-52-208-10-10-18-10-15-156-5</f>
        <v>1200</v>
      </c>
      <c r="C37" t="s">
        <v>132</v>
      </c>
      <c r="D37" s="40" t="s">
        <v>147</v>
      </c>
      <c r="E37" t="s">
        <v>221</v>
      </c>
      <c r="F37" s="38" t="s">
        <v>199</v>
      </c>
    </row>
    <row r="38" spans="1:6" x14ac:dyDescent="0.3">
      <c r="A38" s="1" t="s">
        <v>37</v>
      </c>
      <c r="B38" s="12">
        <f>952-19-20-28-20-56-280-50-28-28-280-28-28-56-6-20-1-2+1-2-1+500-500+600+500-500-600+5000-56-10-28-4-56-28-84-28-140-10-11-1-140-56-1-15-20-10-112-5-5-56-28-5-1-196-5-280-10-504-112+196-5-4-15-56-56-112-56-15-2-56-980-2-28-1-84-112-150-28-28-40-28-5-56-112-5-28-28-10-15-28-50-10-28-28-28-20-28-25-80-70-112-5-80-28-1-30-20-15-56-28-56-2-50-50-100-30</f>
        <v>4</v>
      </c>
      <c r="C38" t="s">
        <v>132</v>
      </c>
      <c r="D38" s="40" t="s">
        <v>167</v>
      </c>
      <c r="E38" t="s">
        <v>225</v>
      </c>
      <c r="F38" s="38" t="s">
        <v>200</v>
      </c>
    </row>
    <row r="39" spans="1:6" x14ac:dyDescent="0.3">
      <c r="A39" s="1" t="s">
        <v>38</v>
      </c>
      <c r="B39" s="12">
        <f>2+1000-30-50-20-20-30-50-10-50-74-25-20-19-25-20-25-50-50-10-50-20-10-71-100-65-42-46-15-5+13</f>
        <v>13</v>
      </c>
      <c r="C39" t="s">
        <v>132</v>
      </c>
      <c r="D39" s="40" t="s">
        <v>159</v>
      </c>
      <c r="E39" t="s">
        <v>226</v>
      </c>
      <c r="F39" s="38" t="s">
        <v>201</v>
      </c>
    </row>
    <row r="40" spans="1:6" x14ac:dyDescent="0.3">
      <c r="A40" s="13" t="s">
        <v>39</v>
      </c>
      <c r="B40" s="12">
        <f>1012-15-104-5-10-20+40-52-5-34-10+208+300+50-260+402-52-1-104-40-5+2000-52-52-104-3-10-52-104-52-1000-20-52+(52)-52-52-20-20-10-52-25-5-5-10-52-3-10-52-5-10-52-10-20-3-20-5-20-10-52-156-1-5-156-20-156-5-5-20-5-5-5-8-52-10-52-10-10-15+1000-5-15-52-10-15-5-15-10-5-10-15-5-5-25-50-5-5-5-5</f>
        <v>1313</v>
      </c>
      <c r="C40" t="s">
        <v>132</v>
      </c>
      <c r="D40" s="40" t="s">
        <v>159</v>
      </c>
      <c r="E40" t="s">
        <v>227</v>
      </c>
      <c r="F40" s="38" t="s">
        <v>202</v>
      </c>
    </row>
    <row r="41" spans="1:6" x14ac:dyDescent="0.3">
      <c r="A41" s="13" t="s">
        <v>40</v>
      </c>
      <c r="B41" s="12">
        <f>737-48-30-10-2-96-50-96-48-48-144-96-30-35+48-30-1-10-10+480-48-20-30+520-48-30-7-100-25-48-48-48-10-5-2-10-48-48-30-25-3-23-48-50-10-15-5-12-50-96-3-14-24+12-18-2</f>
        <v>10</v>
      </c>
      <c r="C41" t="s">
        <v>132</v>
      </c>
      <c r="D41" s="40" t="s">
        <v>193</v>
      </c>
      <c r="E41" t="s">
        <v>228</v>
      </c>
      <c r="F41" s="38" t="s">
        <v>203</v>
      </c>
    </row>
    <row r="42" spans="1:6" x14ac:dyDescent="0.3">
      <c r="A42" s="13" t="s">
        <v>41</v>
      </c>
      <c r="B42" s="12">
        <f>2030-38-3-19-19-19-1-19-95-1-152-2-10-15-1-19-2-63-19-19-5-19-19-100-19-57-19-38-19-40-19-19-186-19-19-4-19-5-38-19-60-19-2-200-19-1-133-5-40-19-20-19-1-20-10-95-4-20-76-19-38-3-9+4</f>
        <v>4</v>
      </c>
      <c r="C42" t="s">
        <v>132</v>
      </c>
      <c r="D42" s="40" t="s">
        <v>159</v>
      </c>
      <c r="E42" t="s">
        <v>232</v>
      </c>
      <c r="F42" s="38" t="s">
        <v>204</v>
      </c>
    </row>
    <row r="43" spans="1:6" x14ac:dyDescent="0.3">
      <c r="A43" s="13" t="s">
        <v>42</v>
      </c>
      <c r="B43" s="12">
        <f>92-5+513-2-19-19-5+6-1-1-4-10-1-50-10-1-19-1-2-19-2-5-3-5-19-5-25-3-19-25-1-5-50-50-1-1-30-50-5-50-50-5-50+19-1</f>
        <v>1</v>
      </c>
      <c r="C43" t="s">
        <v>132</v>
      </c>
      <c r="D43" s="40" t="s">
        <v>171</v>
      </c>
      <c r="E43" t="s">
        <v>233</v>
      </c>
      <c r="F43" s="38" t="s">
        <v>205</v>
      </c>
    </row>
    <row r="44" spans="1:6" x14ac:dyDescent="0.3">
      <c r="A44" s="1" t="s">
        <v>43</v>
      </c>
      <c r="B44" s="14">
        <f>15-1-1-13+13</f>
        <v>13</v>
      </c>
      <c r="C44" t="s">
        <v>132</v>
      </c>
      <c r="D44" s="40" t="s">
        <v>182</v>
      </c>
      <c r="E44" t="s">
        <v>234</v>
      </c>
      <c r="F44" t="s">
        <v>240</v>
      </c>
    </row>
    <row r="45" spans="1:6" x14ac:dyDescent="0.3">
      <c r="A45" s="15" t="s">
        <v>44</v>
      </c>
      <c r="B45" s="14">
        <f>25-1-1</f>
        <v>23</v>
      </c>
      <c r="C45" t="s">
        <v>132</v>
      </c>
      <c r="D45" s="40" t="s">
        <v>177</v>
      </c>
      <c r="E45" t="s">
        <v>235</v>
      </c>
      <c r="F45" t="s">
        <v>240</v>
      </c>
    </row>
    <row r="46" spans="1:6" x14ac:dyDescent="0.3">
      <c r="A46" s="15" t="s">
        <v>45</v>
      </c>
      <c r="B46" s="14">
        <f>9-1-4</f>
        <v>4</v>
      </c>
      <c r="C46" t="s">
        <v>132</v>
      </c>
      <c r="D46" s="40" t="s">
        <v>178</v>
      </c>
      <c r="E46" t="s">
        <v>236</v>
      </c>
      <c r="F46" s="38" t="s">
        <v>239</v>
      </c>
    </row>
    <row r="47" spans="1:6" x14ac:dyDescent="0.3">
      <c r="A47" s="1" t="s">
        <v>46</v>
      </c>
      <c r="B47" s="12">
        <f>200-18-50-105-27+70-70+79-3-1-1-1-1-2-2-1-2</f>
        <v>65</v>
      </c>
      <c r="C47" t="s">
        <v>132</v>
      </c>
      <c r="D47" s="40" t="s">
        <v>237</v>
      </c>
      <c r="E47" t="s">
        <v>238</v>
      </c>
      <c r="F47" s="38" t="s">
        <v>218</v>
      </c>
    </row>
    <row r="48" spans="1:6" x14ac:dyDescent="0.3">
      <c r="A48" s="8" t="s">
        <v>47</v>
      </c>
      <c r="B48" s="16">
        <f>150-2</f>
        <v>148</v>
      </c>
      <c r="C48" t="s">
        <v>132</v>
      </c>
      <c r="D48" s="40" t="s">
        <v>147</v>
      </c>
      <c r="E48" t="s">
        <v>241</v>
      </c>
      <c r="F48" s="38" t="s">
        <v>213</v>
      </c>
    </row>
    <row r="49" spans="1:6" x14ac:dyDescent="0.3">
      <c r="A49" s="8" t="s">
        <v>48</v>
      </c>
      <c r="B49" s="16">
        <f>99-99+50+150-3-100-97+100-100+1</f>
        <v>1</v>
      </c>
      <c r="C49" t="s">
        <v>132</v>
      </c>
      <c r="D49" s="40" t="s">
        <v>145</v>
      </c>
      <c r="E49" s="48" t="s">
        <v>242</v>
      </c>
      <c r="F49" s="38" t="s">
        <v>185</v>
      </c>
    </row>
    <row r="50" spans="1:6" x14ac:dyDescent="0.3">
      <c r="A50" s="8" t="s">
        <v>49</v>
      </c>
      <c r="B50" s="16">
        <f>48-48+100-20-48-25</f>
        <v>7</v>
      </c>
      <c r="C50" t="s">
        <v>132</v>
      </c>
      <c r="D50" s="40" t="s">
        <v>193</v>
      </c>
      <c r="E50" t="s">
        <v>243</v>
      </c>
      <c r="F50" s="38" t="s">
        <v>157</v>
      </c>
    </row>
    <row r="51" spans="1:6" x14ac:dyDescent="0.3">
      <c r="A51" s="8" t="s">
        <v>50</v>
      </c>
      <c r="B51" s="16">
        <f>150-2-140-4-4+2</f>
        <v>2</v>
      </c>
      <c r="C51" t="s">
        <v>132</v>
      </c>
      <c r="D51" s="40" t="s">
        <v>165</v>
      </c>
      <c r="E51" t="s">
        <v>245</v>
      </c>
      <c r="F51" s="38" t="s">
        <v>154</v>
      </c>
    </row>
    <row r="52" spans="1:6" x14ac:dyDescent="0.3">
      <c r="A52" s="8" t="s">
        <v>51</v>
      </c>
      <c r="B52" s="16">
        <f>13-1-2-1-9+9+1+1</f>
        <v>11</v>
      </c>
      <c r="C52" t="s">
        <v>132</v>
      </c>
      <c r="D52" s="40" t="s">
        <v>182</v>
      </c>
      <c r="E52" t="s">
        <v>246</v>
      </c>
      <c r="F52" s="38" t="s">
        <v>220</v>
      </c>
    </row>
    <row r="53" spans="1:6" x14ac:dyDescent="0.3">
      <c r="A53" s="8" t="s">
        <v>52</v>
      </c>
      <c r="B53" s="16">
        <f>21-6-10-2-2+5-5+25-25+150-75-7-1+1</f>
        <v>69</v>
      </c>
      <c r="C53" t="s">
        <v>132</v>
      </c>
      <c r="D53" s="40" t="s">
        <v>177</v>
      </c>
      <c r="E53" t="s">
        <v>248</v>
      </c>
      <c r="F53" s="38" t="s">
        <v>250</v>
      </c>
    </row>
    <row r="54" spans="1:6" x14ac:dyDescent="0.3">
      <c r="A54" s="8" t="s">
        <v>53</v>
      </c>
      <c r="B54" s="16">
        <f>598-20-5-1</f>
        <v>572</v>
      </c>
      <c r="C54" t="s">
        <v>132</v>
      </c>
      <c r="D54" s="40" t="s">
        <v>171</v>
      </c>
      <c r="E54" t="s">
        <v>251</v>
      </c>
      <c r="F54" s="38" t="s">
        <v>153</v>
      </c>
    </row>
    <row r="55" spans="1:6" x14ac:dyDescent="0.3">
      <c r="A55" s="8" t="s">
        <v>54</v>
      </c>
      <c r="B55" s="16">
        <f>1670-18-18-185-10-25-20-4-26-2-36-36-36-2-1-20-2-1-12-20-1-1-3</f>
        <v>1191</v>
      </c>
      <c r="C55" t="s">
        <v>132</v>
      </c>
      <c r="D55" s="40" t="s">
        <v>197</v>
      </c>
      <c r="E55" t="s">
        <v>254</v>
      </c>
      <c r="F55" s="38" t="s">
        <v>188</v>
      </c>
    </row>
    <row r="56" spans="1:6" x14ac:dyDescent="0.3">
      <c r="A56" s="8" t="s">
        <v>55</v>
      </c>
      <c r="B56" s="16">
        <f>5-1-2-1-1+1-1+50+100-1-1-2-2-10-20+1-1</f>
        <v>114</v>
      </c>
      <c r="C56" t="s">
        <v>132</v>
      </c>
      <c r="D56" s="40" t="s">
        <v>197</v>
      </c>
      <c r="E56" t="s">
        <v>255</v>
      </c>
      <c r="F56" s="38" t="s">
        <v>222</v>
      </c>
    </row>
    <row r="57" spans="1:6" x14ac:dyDescent="0.3">
      <c r="A57" s="1" t="s">
        <v>56</v>
      </c>
      <c r="B57" s="16">
        <f>35-15</f>
        <v>20</v>
      </c>
      <c r="C57" t="s">
        <v>132</v>
      </c>
      <c r="D57" s="49" t="s">
        <v>193</v>
      </c>
      <c r="E57" s="47" t="s">
        <v>243</v>
      </c>
      <c r="F57" s="38" t="s">
        <v>219</v>
      </c>
    </row>
    <row r="58" spans="1:6" x14ac:dyDescent="0.3">
      <c r="A58" s="1" t="s">
        <v>57</v>
      </c>
      <c r="B58" s="16">
        <f>2000+2000-120-1020-50-50-540-540-50-50-25-60-5-20-20-50-120-3-15-60-10-10-59-43+4000-10-2-40-25-10-5-2-65-5-10-60-1-100-5-60-2-60-540-60-10-15-5-1-40-22-94-20-4-1020-8-10-5-100-100-30-100-10-540-60-150-15-5-3-10-180-40-10-6-25-50-5-3-50-120-20-100-30-3-120-5-100-100-10-5-100-30-10-10-2-39-180-10-60-20-10-60-50-5-7-67-60-60-60-120-60-67-79-50+1000-40-5-10-300-15-20-25-10-15+2+2-3-1</f>
        <v>3</v>
      </c>
      <c r="C58" t="s">
        <v>132</v>
      </c>
      <c r="D58" s="49" t="s">
        <v>165</v>
      </c>
      <c r="E58" t="s">
        <v>245</v>
      </c>
      <c r="F58" s="38" t="s">
        <v>223</v>
      </c>
    </row>
    <row r="59" spans="1:6" ht="15" thickBot="1" x14ac:dyDescent="0.35">
      <c r="A59" s="4" t="s">
        <v>58</v>
      </c>
      <c r="B59" s="17">
        <f>25-1-1-2</f>
        <v>21</v>
      </c>
      <c r="C59" t="s">
        <v>132</v>
      </c>
      <c r="D59" s="40" t="s">
        <v>257</v>
      </c>
      <c r="E59" t="s">
        <v>258</v>
      </c>
      <c r="F59" s="38" t="s">
        <v>256</v>
      </c>
    </row>
    <row r="60" spans="1:6" x14ac:dyDescent="0.3">
      <c r="A60" s="1" t="s">
        <v>59</v>
      </c>
      <c r="B60" s="12">
        <f>3-3+200-50-40-1-16-52-15+300-104-3-50-10-50-2-20</f>
        <v>87</v>
      </c>
      <c r="C60" t="s">
        <v>132</v>
      </c>
      <c r="D60" s="40" t="s">
        <v>145</v>
      </c>
      <c r="E60" t="s">
        <v>259</v>
      </c>
      <c r="F60" s="38" t="s">
        <v>224</v>
      </c>
    </row>
    <row r="61" spans="1:6" x14ac:dyDescent="0.3">
      <c r="A61" s="1" t="s">
        <v>60</v>
      </c>
      <c r="B61" s="12">
        <f>1+100-48-1+100-2-5-2-3+1-48</f>
        <v>93</v>
      </c>
      <c r="C61" t="s">
        <v>132</v>
      </c>
      <c r="D61" s="40" t="s">
        <v>193</v>
      </c>
      <c r="E61" s="40" t="s">
        <v>260</v>
      </c>
      <c r="F61" s="38" t="s">
        <v>230</v>
      </c>
    </row>
    <row r="62" spans="1:6" x14ac:dyDescent="0.3">
      <c r="A62" s="1" t="s">
        <v>61</v>
      </c>
      <c r="B62" s="16">
        <f>150-52-30-30-38+100-30-52-10</f>
        <v>8</v>
      </c>
      <c r="C62" t="s">
        <v>132</v>
      </c>
      <c r="D62" s="40" t="s">
        <v>145</v>
      </c>
      <c r="E62" t="s">
        <v>259</v>
      </c>
      <c r="F62" s="38" t="s">
        <v>231</v>
      </c>
    </row>
    <row r="63" spans="1:6" x14ac:dyDescent="0.3">
      <c r="A63" s="1" t="s">
        <v>62</v>
      </c>
      <c r="B63" s="14">
        <f>54+100-30-30-50-10-2-2</f>
        <v>30</v>
      </c>
      <c r="C63" t="s">
        <v>132</v>
      </c>
      <c r="D63" s="40" t="s">
        <v>193</v>
      </c>
      <c r="E63" t="s">
        <v>229</v>
      </c>
      <c r="F63" s="38" t="s">
        <v>203</v>
      </c>
    </row>
    <row r="64" spans="1:6" x14ac:dyDescent="0.3">
      <c r="A64" s="8" t="s">
        <v>63</v>
      </c>
      <c r="B64" s="16">
        <f>2-1+1</f>
        <v>2</v>
      </c>
      <c r="C64" t="s">
        <v>132</v>
      </c>
      <c r="D64" s="40" t="s">
        <v>177</v>
      </c>
      <c r="E64" t="s">
        <v>249</v>
      </c>
      <c r="F64" s="38" t="s">
        <v>250</v>
      </c>
    </row>
    <row r="65" spans="1:6" x14ac:dyDescent="0.3">
      <c r="A65" s="8" t="s">
        <v>64</v>
      </c>
      <c r="B65" s="16">
        <f>20-20+300-40-20-20-1-5-20-20-5-2-1-1-5-10-2-10-2-120-16+2-1</f>
        <v>1</v>
      </c>
      <c r="C65" t="s">
        <v>132</v>
      </c>
      <c r="D65" s="40" t="s">
        <v>171</v>
      </c>
      <c r="E65" t="s">
        <v>253</v>
      </c>
      <c r="F65" s="38" t="s">
        <v>153</v>
      </c>
    </row>
    <row r="66" spans="1:6" x14ac:dyDescent="0.3">
      <c r="A66" s="8" t="s">
        <v>65</v>
      </c>
      <c r="B66" s="16">
        <f>25-2-2-1-4-2-2-3</f>
        <v>9</v>
      </c>
      <c r="C66" t="s">
        <v>132</v>
      </c>
      <c r="D66" s="40" t="s">
        <v>257</v>
      </c>
      <c r="E66" t="s">
        <v>262</v>
      </c>
      <c r="F66" s="38" t="s">
        <v>256</v>
      </c>
    </row>
    <row r="67" spans="1:6" x14ac:dyDescent="0.3">
      <c r="A67" s="8" t="s">
        <v>66</v>
      </c>
      <c r="B67" s="16">
        <f>10-10+100-2-6</f>
        <v>92</v>
      </c>
      <c r="C67" t="s">
        <v>132</v>
      </c>
      <c r="D67" s="49" t="s">
        <v>193</v>
      </c>
      <c r="E67" s="47" t="s">
        <v>244</v>
      </c>
      <c r="F67" s="38" t="s">
        <v>219</v>
      </c>
    </row>
    <row r="68" spans="1:6" x14ac:dyDescent="0.3">
      <c r="A68" s="1" t="s">
        <v>67</v>
      </c>
      <c r="B68" s="12">
        <f>1</f>
        <v>1</v>
      </c>
      <c r="C68" t="s">
        <v>132</v>
      </c>
      <c r="D68" s="40" t="s">
        <v>264</v>
      </c>
      <c r="E68" t="s">
        <v>265</v>
      </c>
      <c r="F68" s="38" t="s">
        <v>263</v>
      </c>
    </row>
    <row r="69" spans="1:6" x14ac:dyDescent="0.3">
      <c r="A69" s="8" t="s">
        <v>68</v>
      </c>
      <c r="B69" s="16">
        <f>200-19-5+19-1-4-3-8-10</f>
        <v>169</v>
      </c>
      <c r="C69" t="s">
        <v>132</v>
      </c>
      <c r="D69" s="40" t="s">
        <v>178</v>
      </c>
      <c r="E69" t="s">
        <v>236</v>
      </c>
      <c r="F69" s="38" t="s">
        <v>239</v>
      </c>
    </row>
    <row r="70" spans="1:6" x14ac:dyDescent="0.3">
      <c r="A70" s="1" t="s">
        <v>69</v>
      </c>
      <c r="B70" s="12">
        <f>32-5-5-10-10+100-10-1-20-20-3-2-5-5-10-15-10</f>
        <v>1</v>
      </c>
      <c r="C70" t="s">
        <v>132</v>
      </c>
      <c r="D70" s="40" t="s">
        <v>193</v>
      </c>
      <c r="E70" s="40" t="s">
        <v>261</v>
      </c>
      <c r="F70" s="38" t="s">
        <v>230</v>
      </c>
    </row>
    <row r="71" spans="1:6" x14ac:dyDescent="0.3">
      <c r="A71" s="1" t="s">
        <v>70</v>
      </c>
      <c r="B71" s="12">
        <f>12-12+100-10-10-8-10-8-8-28-18+100-1-28+100-3-1-44-5-2-1-3-10-20-2-5-3</f>
        <v>72</v>
      </c>
      <c r="C71" t="s">
        <v>132</v>
      </c>
      <c r="D71" s="40" t="s">
        <v>159</v>
      </c>
      <c r="E71" t="s">
        <v>266</v>
      </c>
      <c r="F71" s="38" t="s">
        <v>200</v>
      </c>
    </row>
    <row r="72" spans="1:6" x14ac:dyDescent="0.3">
      <c r="A72" s="1" t="s">
        <v>71</v>
      </c>
      <c r="B72" s="12">
        <f>14-12-2+50-19-2+2-2-1+100-125+100-50-53-57+80-10-1+133-5-50-2+95-10-12-3-1-5-9-19-10-3</f>
        <v>111</v>
      </c>
      <c r="C72" t="s">
        <v>132</v>
      </c>
      <c r="D72" s="40" t="s">
        <v>171</v>
      </c>
      <c r="E72" t="s">
        <v>267</v>
      </c>
      <c r="F72" s="38" t="s">
        <v>205</v>
      </c>
    </row>
    <row r="73" spans="1:6" x14ac:dyDescent="0.3">
      <c r="A73" s="8" t="s">
        <v>72</v>
      </c>
      <c r="B73" s="16">
        <f>50-2-1-1-1-1-10-2-10-2-2-1-5-1-5-2-1-2+50-1-1-3-1-2-2-2-10</f>
        <v>29</v>
      </c>
      <c r="C73" t="s">
        <v>132</v>
      </c>
      <c r="D73" s="40" t="s">
        <v>210</v>
      </c>
      <c r="E73" s="48" t="s">
        <v>268</v>
      </c>
      <c r="F73" s="38" t="s">
        <v>187</v>
      </c>
    </row>
    <row r="74" spans="1:6" x14ac:dyDescent="0.3">
      <c r="A74" s="28" t="s">
        <v>111</v>
      </c>
      <c r="B74" s="29">
        <f>100-48+100-125-27+48-48+500-50-10-2-3-15-1-4-10-30-1-2-30-10-5-10-5+400+240+160+100-10-2-20-2-2+2-5+336-15-5-25-48-1-10-50-48-48-15-50-50</f>
        <v>1144</v>
      </c>
      <c r="C74" t="s">
        <v>132</v>
      </c>
      <c r="D74" s="40" t="s">
        <v>272</v>
      </c>
      <c r="E74" s="48" t="s">
        <v>273</v>
      </c>
      <c r="F74" s="38" t="s">
        <v>269</v>
      </c>
    </row>
    <row r="75" spans="1:6" x14ac:dyDescent="0.3">
      <c r="A75" s="28" t="s">
        <v>112</v>
      </c>
      <c r="B75" s="30">
        <f>153</f>
        <v>153</v>
      </c>
      <c r="C75" t="s">
        <v>132</v>
      </c>
      <c r="D75" s="40" t="s">
        <v>274</v>
      </c>
      <c r="E75" s="48" t="s">
        <v>276</v>
      </c>
      <c r="F75" s="38" t="s">
        <v>270</v>
      </c>
    </row>
    <row r="76" spans="1:6" x14ac:dyDescent="0.3">
      <c r="A76" s="28" t="s">
        <v>113</v>
      </c>
      <c r="B76" s="31">
        <f>3</f>
        <v>3</v>
      </c>
      <c r="C76" t="s">
        <v>132</v>
      </c>
      <c r="D76" s="40" t="s">
        <v>272</v>
      </c>
      <c r="E76" s="48" t="s">
        <v>275</v>
      </c>
      <c r="F76" s="38" t="s">
        <v>271</v>
      </c>
    </row>
    <row r="77" spans="1:6" x14ac:dyDescent="0.3">
      <c r="A77" s="28" t="s">
        <v>116</v>
      </c>
      <c r="B77" s="34">
        <f>3</f>
        <v>3</v>
      </c>
      <c r="C77" t="s">
        <v>132</v>
      </c>
      <c r="D77" s="40" t="s">
        <v>272</v>
      </c>
      <c r="E77" s="48" t="s">
        <v>277</v>
      </c>
      <c r="F77" s="38" t="s">
        <v>271</v>
      </c>
    </row>
    <row r="78" spans="1:6" x14ac:dyDescent="0.3">
      <c r="A78" s="28" t="s">
        <v>114</v>
      </c>
      <c r="B78" s="31">
        <v>3</v>
      </c>
      <c r="C78" t="s">
        <v>132</v>
      </c>
      <c r="D78" s="40"/>
    </row>
    <row r="79" spans="1:6" ht="15" thickBot="1" x14ac:dyDescent="0.35">
      <c r="A79" s="32" t="s">
        <v>115</v>
      </c>
      <c r="B79" s="33">
        <f>200-200+300-300+300-200-1-99+200-200+600+200-201-1-36-50-36-50-50-100-100-150+30-56+1</f>
        <v>1</v>
      </c>
      <c r="C79" t="s">
        <v>132</v>
      </c>
      <c r="D79" s="40"/>
    </row>
    <row r="80" spans="1:6" ht="15" thickBot="1" x14ac:dyDescent="0.35">
      <c r="A80" s="27" t="s">
        <v>117</v>
      </c>
      <c r="B80" s="22">
        <f>2</f>
        <v>2</v>
      </c>
      <c r="C80" t="s">
        <v>132</v>
      </c>
      <c r="D80" s="40"/>
    </row>
    <row r="81" spans="1:4" ht="18.600000000000001" thickBot="1" x14ac:dyDescent="0.35">
      <c r="A81" s="36" t="s">
        <v>129</v>
      </c>
      <c r="B81" s="37"/>
      <c r="C81" t="s">
        <v>132</v>
      </c>
      <c r="D81" s="40"/>
    </row>
    <row r="82" spans="1:4" x14ac:dyDescent="0.3">
      <c r="A82" s="18" t="s">
        <v>118</v>
      </c>
      <c r="B82" s="19">
        <f>100-100+70-60-10+130-99-31+88-70-3-15+112+70-6-176+18+300-100-5-2-5-10-3-5-5-10-10-10-153+200-5-10-2-4-12-6</f>
        <v>161</v>
      </c>
      <c r="C82" t="s">
        <v>132</v>
      </c>
      <c r="D82" s="40"/>
    </row>
    <row r="83" spans="1:4" ht="15" thickBot="1" x14ac:dyDescent="0.35">
      <c r="A83" s="18" t="s">
        <v>119</v>
      </c>
      <c r="B83" s="19">
        <f>90-8-10-5-67+198-5-10-50-36-10-3+300+2-100-25-1-25-10-1+1-2-10-3-1+300-3-10-25-10-10-36-10-2-10-2-5-25-1-20-5-10-3-10-10-36-3-5-5-10-5-36-10-1-10-36-5-6-3-30-50+400-3-10-3-2-1-36-1-2-10-4-10-1-15-1-2-20-6-30-10-1-5-22-10-2-5-10-30-10-10-1-10-12-2</f>
        <v>154</v>
      </c>
      <c r="C83" t="s">
        <v>132</v>
      </c>
      <c r="D83" s="40"/>
    </row>
    <row r="84" spans="1:4" ht="18.600000000000001" thickBot="1" x14ac:dyDescent="0.35">
      <c r="A84" s="35" t="s">
        <v>128</v>
      </c>
      <c r="C84" t="s">
        <v>132</v>
      </c>
      <c r="D84" s="40"/>
    </row>
    <row r="85" spans="1:4" x14ac:dyDescent="0.3">
      <c r="A85" s="18" t="s">
        <v>120</v>
      </c>
      <c r="B85" s="19">
        <f>227-5</f>
        <v>222</v>
      </c>
      <c r="C85" t="s">
        <v>132</v>
      </c>
      <c r="D85" s="40"/>
    </row>
    <row r="86" spans="1:4" x14ac:dyDescent="0.3">
      <c r="A86" s="18" t="s">
        <v>121</v>
      </c>
      <c r="B86" s="19">
        <f>237-5-6-5-10+1-10-150-1-15</f>
        <v>36</v>
      </c>
      <c r="C86" t="s">
        <v>132</v>
      </c>
      <c r="D86" s="40"/>
    </row>
    <row r="87" spans="1:4" ht="15" thickBot="1" x14ac:dyDescent="0.35">
      <c r="A87" s="18" t="s">
        <v>122</v>
      </c>
      <c r="B87" s="19">
        <f>1</f>
        <v>1</v>
      </c>
      <c r="C87" t="s">
        <v>132</v>
      </c>
      <c r="D87" s="40"/>
    </row>
    <row r="88" spans="1:4" ht="18.600000000000001" thickBot="1" x14ac:dyDescent="0.35">
      <c r="A88" s="36" t="s">
        <v>127</v>
      </c>
      <c r="B88" s="37"/>
      <c r="C88" t="s">
        <v>132</v>
      </c>
      <c r="D88" s="40"/>
    </row>
    <row r="89" spans="1:4" x14ac:dyDescent="0.3">
      <c r="A89" s="18" t="s">
        <v>123</v>
      </c>
      <c r="B89" s="19">
        <f>113+100-3+200-5+50-5-10-48-5-10-3-1-48-1-10</f>
        <v>314</v>
      </c>
      <c r="C89" t="s">
        <v>132</v>
      </c>
      <c r="D89" s="40"/>
    </row>
    <row r="90" spans="1:4" x14ac:dyDescent="0.3">
      <c r="A90" s="18" t="s">
        <v>124</v>
      </c>
      <c r="B90" s="19">
        <f>300-50-2-5-5-36-2-15-25-50-20-84-3-3+300-10-10-1-15-5-10+188-5-15-15-10-12+200-12-7-7-10-4-10-12-10-4-1-1-10-4-1-11-12-10-5-30-10-2-6</f>
        <v>401</v>
      </c>
      <c r="C90" t="s">
        <v>132</v>
      </c>
      <c r="D90" s="40"/>
    </row>
    <row r="91" spans="1:4" x14ac:dyDescent="0.3">
      <c r="A91" s="18" t="s">
        <v>125</v>
      </c>
      <c r="B91" s="19">
        <f>72-28-3-30-3+100-2-5-2-4-1-5-5-2-5-28-17-25+100-2-10-84-3-3-5+100-50-1-5-10-2+100-1-5-10-1-2-5-5-10-1-1-20-1-10-1-2-3-3+100-2-2-10-10-1-10</f>
        <v>116</v>
      </c>
      <c r="C91" t="s">
        <v>132</v>
      </c>
      <c r="D91" s="40"/>
    </row>
    <row r="92" spans="1:4" ht="15" thickBot="1" x14ac:dyDescent="0.35">
      <c r="A92" s="32" t="s">
        <v>126</v>
      </c>
      <c r="B92" s="33">
        <f>200-200+100+100-36-2-2-2-3-10-10-1-50-5+26-10-2-50-42</f>
        <v>1</v>
      </c>
      <c r="C92" t="s">
        <v>132</v>
      </c>
      <c r="D92" s="40"/>
    </row>
    <row r="93" spans="1:4" x14ac:dyDescent="0.3">
      <c r="D93" s="40"/>
    </row>
    <row r="94" spans="1:4" x14ac:dyDescent="0.3">
      <c r="D94" s="40"/>
    </row>
    <row r="95" spans="1:4" x14ac:dyDescent="0.3">
      <c r="D95" s="40"/>
    </row>
    <row r="96" spans="1:4" x14ac:dyDescent="0.3">
      <c r="D96" s="40"/>
    </row>
    <row r="97" spans="4:4" x14ac:dyDescent="0.3">
      <c r="D97" s="40"/>
    </row>
    <row r="98" spans="4:4" x14ac:dyDescent="0.3">
      <c r="D98" s="40"/>
    </row>
    <row r="99" spans="4:4" x14ac:dyDescent="0.3">
      <c r="D99" s="40"/>
    </row>
    <row r="100" spans="4:4" x14ac:dyDescent="0.3">
      <c r="D100" s="40"/>
    </row>
    <row r="101" spans="4:4" x14ac:dyDescent="0.3">
      <c r="D101" s="40"/>
    </row>
    <row r="102" spans="4:4" x14ac:dyDescent="0.3">
      <c r="D102" s="40"/>
    </row>
    <row r="103" spans="4:4" x14ac:dyDescent="0.3">
      <c r="D103" s="40"/>
    </row>
    <row r="104" spans="4:4" x14ac:dyDescent="0.3">
      <c r="D104" s="40"/>
    </row>
    <row r="105" spans="4:4" x14ac:dyDescent="0.3">
      <c r="D105" s="40"/>
    </row>
    <row r="106" spans="4:4" x14ac:dyDescent="0.3">
      <c r="D106" s="40"/>
    </row>
    <row r="107" spans="4:4" x14ac:dyDescent="0.3">
      <c r="D107" s="40"/>
    </row>
    <row r="108" spans="4:4" x14ac:dyDescent="0.3">
      <c r="D108" s="40"/>
    </row>
    <row r="109" spans="4:4" x14ac:dyDescent="0.3">
      <c r="D109" s="40"/>
    </row>
    <row r="110" spans="4:4" x14ac:dyDescent="0.3">
      <c r="D110" s="40"/>
    </row>
    <row r="111" spans="4:4" x14ac:dyDescent="0.3">
      <c r="D111" s="40"/>
    </row>
    <row r="112" spans="4:4" x14ac:dyDescent="0.3">
      <c r="D112" s="40"/>
    </row>
    <row r="113" spans="3:4" x14ac:dyDescent="0.3">
      <c r="D113" s="40"/>
    </row>
    <row r="114" spans="3:4" x14ac:dyDescent="0.3">
      <c r="D114" s="40"/>
    </row>
    <row r="115" spans="3:4" x14ac:dyDescent="0.3">
      <c r="D115" s="40"/>
    </row>
    <row r="116" spans="3:4" x14ac:dyDescent="0.3">
      <c r="C116" t="s">
        <v>132</v>
      </c>
      <c r="D116" s="40"/>
    </row>
    <row r="117" spans="3:4" x14ac:dyDescent="0.3">
      <c r="D117" s="40"/>
    </row>
    <row r="118" spans="3:4" x14ac:dyDescent="0.3">
      <c r="D118" s="40"/>
    </row>
    <row r="119" spans="3:4" x14ac:dyDescent="0.3">
      <c r="D119" s="40"/>
    </row>
    <row r="120" spans="3:4" x14ac:dyDescent="0.3">
      <c r="D120" s="40"/>
    </row>
    <row r="121" spans="3:4" x14ac:dyDescent="0.3">
      <c r="D121" s="40"/>
    </row>
    <row r="122" spans="3:4" x14ac:dyDescent="0.3">
      <c r="D122" s="40"/>
    </row>
    <row r="123" spans="3:4" x14ac:dyDescent="0.3">
      <c r="D123" s="40"/>
    </row>
    <row r="124" spans="3:4" x14ac:dyDescent="0.3">
      <c r="D124" s="40"/>
    </row>
    <row r="125" spans="3:4" x14ac:dyDescent="0.3">
      <c r="D125" s="40"/>
    </row>
    <row r="126" spans="3:4" x14ac:dyDescent="0.3">
      <c r="D126" s="40"/>
    </row>
    <row r="127" spans="3:4" x14ac:dyDescent="0.3">
      <c r="D127" s="40"/>
    </row>
    <row r="128" spans="3:4" x14ac:dyDescent="0.3">
      <c r="D128" s="40"/>
    </row>
    <row r="129" spans="4:4" x14ac:dyDescent="0.3">
      <c r="D129" s="40"/>
    </row>
    <row r="130" spans="4:4" x14ac:dyDescent="0.3">
      <c r="D130" s="40"/>
    </row>
    <row r="131" spans="4:4" x14ac:dyDescent="0.3">
      <c r="D131" s="40"/>
    </row>
    <row r="132" spans="4:4" x14ac:dyDescent="0.3">
      <c r="D132" s="40"/>
    </row>
    <row r="133" spans="4:4" x14ac:dyDescent="0.3">
      <c r="D133" s="40"/>
    </row>
    <row r="134" spans="4:4" x14ac:dyDescent="0.3">
      <c r="D134" s="40"/>
    </row>
    <row r="135" spans="4:4" x14ac:dyDescent="0.3">
      <c r="D135" s="40"/>
    </row>
    <row r="136" spans="4:4" x14ac:dyDescent="0.3">
      <c r="D136" s="40"/>
    </row>
    <row r="137" spans="4:4" x14ac:dyDescent="0.3">
      <c r="D137" s="40"/>
    </row>
  </sheetData>
  <mergeCells count="2">
    <mergeCell ref="A88:B88"/>
    <mergeCell ref="A81:B81"/>
  </mergeCells>
  <hyperlinks>
    <hyperlink ref="F2" r:id="rId1" xr:uid="{9B12A3B2-32BD-47DF-8C1D-456B0903B312}"/>
    <hyperlink ref="F4" r:id="rId2" xr:uid="{3731A0D8-C8FA-4F2E-B2AA-D6F4772AC875}"/>
    <hyperlink ref="F5" r:id="rId3" xr:uid="{E3D27316-59FB-4AFB-8BD4-76DDFA18A2BA}"/>
    <hyperlink ref="F6" r:id="rId4" xr:uid="{77466FA7-8FA8-46C7-B5E5-69EA94804D24}"/>
    <hyperlink ref="F7" r:id="rId5" xr:uid="{9661A76C-ECE6-4AC8-B2D4-A2E09A93F217}"/>
    <hyperlink ref="F3" r:id="rId6" xr:uid="{C801599F-4FA9-4279-B06D-7A5036621EB6}"/>
    <hyperlink ref="F8" r:id="rId7" xr:uid="{B6A9A6AC-1F40-4707-8546-3AB2434BF25A}"/>
    <hyperlink ref="F9" r:id="rId8" xr:uid="{84D2E0C9-AD1D-4519-94BD-797356C1F7D8}"/>
    <hyperlink ref="F10" r:id="rId9" xr:uid="{F664CEDB-2998-434A-B1BF-690E8929B41B}"/>
    <hyperlink ref="F11" r:id="rId10" xr:uid="{252FD92A-12A7-4306-84D8-3B12122010B5}"/>
    <hyperlink ref="F12" r:id="rId11" xr:uid="{462B521E-7E50-4663-8596-26B78EE3A2AE}"/>
    <hyperlink ref="F13" r:id="rId12" xr:uid="{41321DF6-8835-4387-B612-DE68465CA5D9}"/>
    <hyperlink ref="F16" r:id="rId13" xr:uid="{E6A374F5-ADF8-4541-BAC2-7F6F65630615}"/>
    <hyperlink ref="F21" r:id="rId14" xr:uid="{0CA7FEB8-9341-4692-9A78-7B512C039DCA}"/>
    <hyperlink ref="F22" r:id="rId15" xr:uid="{D3FF0416-6DC7-4F9A-9F70-789022A8B931}"/>
    <hyperlink ref="F23" r:id="rId16" xr:uid="{42FD44D1-8B28-446F-9B0B-793382F58594}"/>
    <hyperlink ref="F25" r:id="rId17" xr:uid="{4811C6D5-87B9-40DD-842C-EED6D6469F11}"/>
    <hyperlink ref="F26" r:id="rId18" xr:uid="{F353141D-0DCF-4591-830B-112CF3B99FB7}"/>
    <hyperlink ref="F27" r:id="rId19" xr:uid="{5EC4329B-EBC6-4B1B-9B15-2FDF81058AF7}"/>
    <hyperlink ref="F28" r:id="rId20" xr:uid="{27B193D7-5960-4308-B930-F94E1AE171DC}"/>
    <hyperlink ref="F29" r:id="rId21" xr:uid="{0A465037-9196-4E92-B4AB-B983A6063199}"/>
    <hyperlink ref="F30" r:id="rId22" xr:uid="{59FA940B-169E-43D4-94D6-13242BF5D620}"/>
    <hyperlink ref="F31" r:id="rId23" xr:uid="{B7E52457-80B4-432F-A24C-EAC717305758}"/>
    <hyperlink ref="F32" r:id="rId24" xr:uid="{247B25FC-922D-47A7-A503-FF69381260B3}"/>
    <hyperlink ref="F34" r:id="rId25" xr:uid="{EC734CA0-63F4-41D5-B26E-37CF509B895E}"/>
    <hyperlink ref="F35" r:id="rId26" xr:uid="{9E31138F-DE46-459C-92AE-994EE8F05666}"/>
    <hyperlink ref="F36" r:id="rId27" xr:uid="{91DCE594-B45E-43E1-A387-6C9AAF95C22E}"/>
    <hyperlink ref="F37" r:id="rId28" xr:uid="{50EE0B78-C6D4-496D-B96E-2EFB553D6B8D}"/>
    <hyperlink ref="F38" r:id="rId29" xr:uid="{C13EF1B7-8A87-4D5E-893F-E8328CD1DFDD}"/>
    <hyperlink ref="F39" r:id="rId30" xr:uid="{937BD9CE-4F12-4F5C-8BA6-708F15856064}"/>
    <hyperlink ref="F40" r:id="rId31" xr:uid="{2655E7C8-DE3E-4695-8B19-38418F14CF0C}"/>
    <hyperlink ref="F41" r:id="rId32" xr:uid="{BB8132AC-F87E-467E-AF63-7492E64D802B}"/>
    <hyperlink ref="F42" r:id="rId33" xr:uid="{E0D8E1F1-BA45-443A-A083-EDB803345513}"/>
    <hyperlink ref="F43" r:id="rId34" xr:uid="{45C7AB80-6BF4-489A-B273-58813D668CC1}"/>
    <hyperlink ref="F47" r:id="rId35" xr:uid="{65FD1A69-909A-408A-8A3D-E70616255D73}"/>
    <hyperlink ref="F46" r:id="rId36" xr:uid="{5666AD41-DB4F-40DC-BCD4-EB686A85FF21}"/>
    <hyperlink ref="F15" r:id="rId37" xr:uid="{E3B7AF62-2950-4821-B931-BF3F82B2ED2C}"/>
    <hyperlink ref="F48" r:id="rId38" xr:uid="{4A1E921C-56D4-498E-A702-01AB45D9F8E7}"/>
    <hyperlink ref="F49" r:id="rId39" xr:uid="{BA0500BB-2DC5-4AC7-808C-92C991F83479}"/>
    <hyperlink ref="F50" r:id="rId40" xr:uid="{D4020DB7-0696-4912-B714-3629F19452D3}"/>
    <hyperlink ref="F57" r:id="rId41" xr:uid="{A526203D-8A9C-44A2-A19C-5D96428894DF}"/>
    <hyperlink ref="F67" r:id="rId42" xr:uid="{2A7B3601-00C5-4923-87AD-6070E35A1300}"/>
    <hyperlink ref="F24" r:id="rId43" xr:uid="{1CA8F367-1D0F-4C20-BCA8-1D7D8FF4EFF2}"/>
    <hyperlink ref="F51" r:id="rId44" xr:uid="{7FB4C676-1ACB-4B69-9F01-A8578A83C2E4}"/>
    <hyperlink ref="F17" r:id="rId45" xr:uid="{78170DDD-78E5-40CB-B2BA-10DA51763749}"/>
    <hyperlink ref="F52" r:id="rId46" xr:uid="{DEADFF92-E1F3-4504-857B-9E257D7CF8D6}"/>
    <hyperlink ref="F18" r:id="rId47" xr:uid="{DCA920BB-8A6C-4A13-84C1-BF67120A359D}"/>
    <hyperlink ref="F53" r:id="rId48" xr:uid="{566F801C-841D-4BD1-819A-775EA179C070}"/>
    <hyperlink ref="F64" r:id="rId49" xr:uid="{471D1C46-B9AC-4679-AE2A-7C8B2AB0F1A0}"/>
    <hyperlink ref="F54" r:id="rId50" xr:uid="{16F25CFE-E115-48ED-89BF-5F44470234B8}"/>
    <hyperlink ref="F65" r:id="rId51" xr:uid="{82FB0799-62A1-499F-8BC6-1EFF31B1D0C6}"/>
    <hyperlink ref="F56" r:id="rId52" xr:uid="{C4802983-527C-4A06-B1EE-AE4CB054A3A1}"/>
    <hyperlink ref="F59" r:id="rId53" xr:uid="{0C3F4470-7634-427C-9928-CF51835599BE}"/>
    <hyperlink ref="F60" r:id="rId54" xr:uid="{A26C25CE-5751-4659-9857-4DB7FE4563C7}"/>
    <hyperlink ref="F63" r:id="rId55" xr:uid="{85F4EC35-573B-4454-9A41-25581223081D}"/>
    <hyperlink ref="F61" r:id="rId56" xr:uid="{82623CDA-0B50-42BD-AADB-0CBEB4C812FD}"/>
    <hyperlink ref="F70" r:id="rId57" xr:uid="{08B268D6-C88B-46FB-A15E-A6C63A7761A1}"/>
    <hyperlink ref="F62" r:id="rId58" xr:uid="{4D9E5F3F-3453-49CA-BD42-5DBC39BCF04E}"/>
    <hyperlink ref="F66" r:id="rId59" xr:uid="{DBF4A392-1757-4B50-9E3C-3910CF81C0A2}"/>
    <hyperlink ref="F68" r:id="rId60" xr:uid="{B05CFFF9-EBA6-451C-AC81-A80708C11288}"/>
    <hyperlink ref="F69" r:id="rId61" xr:uid="{90FFF26F-5E33-481D-8655-0367BD206841}"/>
    <hyperlink ref="F71" r:id="rId62" xr:uid="{3269B584-4664-417E-BE1E-0E1E84406B62}"/>
    <hyperlink ref="F72" r:id="rId63" xr:uid="{84ED99AF-BCFB-4420-AFB5-CFE22438C3FD}"/>
    <hyperlink ref="F73" r:id="rId64" xr:uid="{BAFBC9F2-CC6A-4118-B4CA-6F2410B6A420}"/>
    <hyperlink ref="F74" r:id="rId65" xr:uid="{0938E681-E37C-4871-9CD4-DB1213C8EC10}"/>
    <hyperlink ref="F75" r:id="rId66" xr:uid="{DC2FD504-B9DB-44B9-838E-34157440C62D}"/>
    <hyperlink ref="F76" r:id="rId67" xr:uid="{0ED6F53F-8AD6-4841-8014-AC342FD0E5AA}"/>
    <hyperlink ref="F77" r:id="rId68" xr:uid="{65E92549-63A6-4E8A-9310-08ABB52A86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1A82-1A56-4E40-AD9A-D2D621E1487E}">
  <dimension ref="A2:C39"/>
  <sheetViews>
    <sheetView topLeftCell="A28" workbookViewId="0">
      <selection activeCell="A27" sqref="A27:XFD27"/>
    </sheetView>
  </sheetViews>
  <sheetFormatPr defaultRowHeight="14.4" x14ac:dyDescent="0.3"/>
  <cols>
    <col min="1" max="1" width="18.21875" bestFit="1" customWidth="1"/>
    <col min="3" max="3" width="10" bestFit="1" customWidth="1"/>
  </cols>
  <sheetData>
    <row r="2" spans="1:3" x14ac:dyDescent="0.3">
      <c r="A2" s="18" t="s">
        <v>73</v>
      </c>
      <c r="B2" s="19">
        <f>65-65+1000-135-7-2-1-135-15+500-2-20-5-10-25-5-135-5-30-15-10-270-150-3-20-5-2-30-5-20-5-20-2-25-25-4</f>
        <v>357</v>
      </c>
      <c r="C2" t="s">
        <v>132</v>
      </c>
    </row>
    <row r="3" spans="1:3" x14ac:dyDescent="0.3">
      <c r="A3" s="18" t="s">
        <v>74</v>
      </c>
      <c r="B3" s="19">
        <f>221-12-4-6-25-25-4-2-100-2-25-3-2-3-2+300-30-15-5-5-20-5-4-54-144-15-4-1-2-1</f>
        <v>1</v>
      </c>
      <c r="C3" t="s">
        <v>132</v>
      </c>
    </row>
    <row r="4" spans="1:3" x14ac:dyDescent="0.3">
      <c r="A4" s="20" t="s">
        <v>75</v>
      </c>
      <c r="B4" s="21">
        <f>758-15-50-5-50-50-25-20-70-200-2-6-10-1-1-20-1-30-1+1+1000-4-2-30-25-10-40-30-50-60-15-1-25-15-15-15-50-50-1-1-30-5-15-5-25-120-5-3-10-20-6-20-2-5-1-14-12-20-20-10-20+1-10-25-30-50-2-40-40-25-150</f>
        <v>24</v>
      </c>
      <c r="C4" t="s">
        <v>132</v>
      </c>
    </row>
    <row r="5" spans="1:3" x14ac:dyDescent="0.3">
      <c r="A5" s="20" t="s">
        <v>76</v>
      </c>
      <c r="B5" s="21">
        <f>100-28-5-20-1-2-20-1-5-3-2+1-14+100-28-1-7-1-1-5-2-5+5-12-3-2-12-5-20+4</f>
        <v>5</v>
      </c>
      <c r="C5" t="s">
        <v>132</v>
      </c>
    </row>
    <row r="6" spans="1:3" x14ac:dyDescent="0.3">
      <c r="A6" s="20" t="s">
        <v>77</v>
      </c>
      <c r="B6" s="21">
        <f>200-9-1-2-3-2-2-5-5-1-150-5-10+150-150+120-100-20+200-25-164+217-2+50-5-5+4-9-5-5-10+1</f>
        <v>247</v>
      </c>
      <c r="C6" t="s">
        <v>132</v>
      </c>
    </row>
    <row r="7" spans="1:3" x14ac:dyDescent="0.3">
      <c r="A7" s="20" t="s">
        <v>78</v>
      </c>
      <c r="B7" s="22">
        <f>2-2+10-6-4+600-23-54-5-300-3-18-5-20-36-5-1-1-2-10-6-1-18-1-3+200-18-2-3-5-5-1-10-18-20-3-18-4-1-1-18-2-2-2-5-2-5-10-100+90-11-15</f>
        <v>97</v>
      </c>
      <c r="C7" t="s">
        <v>132</v>
      </c>
    </row>
    <row r="8" spans="1:3" x14ac:dyDescent="0.3">
      <c r="A8" s="20" t="s">
        <v>79</v>
      </c>
      <c r="B8" s="22">
        <f>150-25+50-2-3-1-30-6-130-1+150-150+3</f>
        <v>5</v>
      </c>
      <c r="C8" t="s">
        <v>132</v>
      </c>
    </row>
    <row r="9" spans="1:3" x14ac:dyDescent="0.3">
      <c r="A9" s="18" t="s">
        <v>80</v>
      </c>
      <c r="B9" s="19">
        <f>114-54-1-1-58+500-216-70-40-5-169+100+44-30-2-30-72+44+50-1-2-2-4-10-5-10-30-10-2</f>
        <v>28</v>
      </c>
      <c r="C9" t="s">
        <v>132</v>
      </c>
    </row>
    <row r="10" spans="1:3" x14ac:dyDescent="0.3">
      <c r="A10" s="18" t="s">
        <v>81</v>
      </c>
      <c r="B10" s="19">
        <f>24+100-6+400-4-1-10-2-5-6-54-5-5-20-7-54-5-50-5-1-5-44-14-2-2-1-35-4-21</f>
        <v>156</v>
      </c>
      <c r="C10" t="s">
        <v>132</v>
      </c>
    </row>
    <row r="11" spans="1:3" x14ac:dyDescent="0.3">
      <c r="A11" s="18" t="s">
        <v>82</v>
      </c>
      <c r="B11" s="21">
        <f>6-6+29-1-2+1-3-14</f>
        <v>10</v>
      </c>
      <c r="C11" t="s">
        <v>132</v>
      </c>
    </row>
    <row r="12" spans="1:3" x14ac:dyDescent="0.3">
      <c r="A12" s="18" t="s">
        <v>83</v>
      </c>
      <c r="B12" s="23">
        <f>200-10-190+350-350-5+200-28-25-28-7-1-1-10+200-28-1-5-2-70-2-6-7-3-4-5-20-1-2-5-3-2-5-5-5-2-10-28-12-10+100-4</f>
        <v>148</v>
      </c>
      <c r="C12" t="s">
        <v>132</v>
      </c>
    </row>
    <row r="13" spans="1:3" x14ac:dyDescent="0.3">
      <c r="A13" s="18" t="s">
        <v>84</v>
      </c>
      <c r="B13" s="23">
        <f>2516+40-15-1-2-5-10-10-1-5-2-36-200+108-36-200-200-490</f>
        <v>1451</v>
      </c>
      <c r="C13" t="s">
        <v>132</v>
      </c>
    </row>
    <row r="14" spans="1:3" x14ac:dyDescent="0.3">
      <c r="A14" s="18" t="s">
        <v>85</v>
      </c>
      <c r="B14" s="23">
        <f>50-4-2-1-1-3+1</f>
        <v>40</v>
      </c>
      <c r="C14" t="s">
        <v>132</v>
      </c>
    </row>
    <row r="15" spans="1:3" x14ac:dyDescent="0.3">
      <c r="A15" s="18" t="s">
        <v>86</v>
      </c>
      <c r="B15" s="23">
        <f>655-12-50-5</f>
        <v>588</v>
      </c>
      <c r="C15" t="s">
        <v>132</v>
      </c>
    </row>
    <row r="16" spans="1:3" x14ac:dyDescent="0.3">
      <c r="A16" s="18" t="s">
        <v>87</v>
      </c>
      <c r="B16" s="23">
        <f>2</f>
        <v>2</v>
      </c>
      <c r="C16" t="s">
        <v>132</v>
      </c>
    </row>
    <row r="17" spans="1:3" x14ac:dyDescent="0.3">
      <c r="A17" s="18" t="s">
        <v>88</v>
      </c>
      <c r="B17" s="24">
        <f>1</f>
        <v>1</v>
      </c>
      <c r="C17" t="s">
        <v>132</v>
      </c>
    </row>
    <row r="18" spans="1:3" x14ac:dyDescent="0.3">
      <c r="A18" s="18" t="s">
        <v>89</v>
      </c>
      <c r="B18" s="24">
        <f>33+67+200-8-1-5-8-5-2-1-3-72-1-1+1-8-3-2-1-1-1-60-60-56</f>
        <v>2</v>
      </c>
      <c r="C18" t="s">
        <v>132</v>
      </c>
    </row>
    <row r="19" spans="1:3" x14ac:dyDescent="0.3">
      <c r="A19" s="18" t="s">
        <v>90</v>
      </c>
      <c r="B19" s="24">
        <f>150-8-1-6-8-1-8-1-1-2-2-3-3-2+1+2-80-2</f>
        <v>25</v>
      </c>
      <c r="C19" t="s">
        <v>132</v>
      </c>
    </row>
    <row r="20" spans="1:3" x14ac:dyDescent="0.3">
      <c r="A20" s="18" t="s">
        <v>91</v>
      </c>
      <c r="B20" s="24">
        <f>4</f>
        <v>4</v>
      </c>
      <c r="C20" t="s">
        <v>132</v>
      </c>
    </row>
    <row r="21" spans="1:3" x14ac:dyDescent="0.3">
      <c r="A21" s="18" t="s">
        <v>92</v>
      </c>
      <c r="B21" s="24">
        <f>1</f>
        <v>1</v>
      </c>
      <c r="C21" t="s">
        <v>132</v>
      </c>
    </row>
    <row r="22" spans="1:3" x14ac:dyDescent="0.3">
      <c r="A22" s="18" t="s">
        <v>93</v>
      </c>
      <c r="B22" s="24">
        <f>1</f>
        <v>1</v>
      </c>
      <c r="C22" t="s">
        <v>132</v>
      </c>
    </row>
    <row r="23" spans="1:3" x14ac:dyDescent="0.3">
      <c r="A23" s="18" t="s">
        <v>94</v>
      </c>
      <c r="B23" s="24">
        <f>2</f>
        <v>2</v>
      </c>
      <c r="C23" t="s">
        <v>132</v>
      </c>
    </row>
    <row r="24" spans="1:3" x14ac:dyDescent="0.3">
      <c r="A24" s="18" t="s">
        <v>95</v>
      </c>
      <c r="B24" s="24">
        <f>1</f>
        <v>1</v>
      </c>
      <c r="C24" t="s">
        <v>132</v>
      </c>
    </row>
    <row r="25" spans="1:3" x14ac:dyDescent="0.3">
      <c r="A25" s="18" t="s">
        <v>96</v>
      </c>
      <c r="B25" s="23">
        <f>2</f>
        <v>2</v>
      </c>
      <c r="C25" t="s">
        <v>132</v>
      </c>
    </row>
    <row r="26" spans="1:3" ht="15" thickBot="1" x14ac:dyDescent="0.35">
      <c r="A26" s="25" t="s">
        <v>97</v>
      </c>
      <c r="B26" s="26">
        <f>5000-1000-520-320-5-35-5-15-20-28-5-10-10-80-1-80-10-20-10-10-2-5+9-60-5-5+800-40-40-10-13-1100-168-40-120-20+2-60-5-5+800-17</f>
        <v>2712</v>
      </c>
      <c r="C26" t="s">
        <v>132</v>
      </c>
    </row>
    <row r="27" spans="1:3" x14ac:dyDescent="0.3">
      <c r="A27" s="18" t="s">
        <v>98</v>
      </c>
      <c r="B27" s="23">
        <f>100-28-1-10-31-22-5</f>
        <v>3</v>
      </c>
      <c r="C27" t="s">
        <v>132</v>
      </c>
    </row>
    <row r="28" spans="1:3" x14ac:dyDescent="0.3">
      <c r="A28" s="18" t="s">
        <v>99</v>
      </c>
      <c r="B28" s="23">
        <f>10-10+10-2</f>
        <v>8</v>
      </c>
      <c r="C28" t="s">
        <v>132</v>
      </c>
    </row>
    <row r="29" spans="1:3" x14ac:dyDescent="0.3">
      <c r="A29" s="27" t="s">
        <v>100</v>
      </c>
      <c r="B29" s="24">
        <f>19-18</f>
        <v>1</v>
      </c>
      <c r="C29" t="s">
        <v>132</v>
      </c>
    </row>
    <row r="30" spans="1:3" x14ac:dyDescent="0.3">
      <c r="A30" s="27" t="s">
        <v>101</v>
      </c>
      <c r="B30" s="24">
        <f>200-3-40-5</f>
        <v>152</v>
      </c>
      <c r="C30" t="s">
        <v>132</v>
      </c>
    </row>
    <row r="31" spans="1:3" x14ac:dyDescent="0.3">
      <c r="A31" s="20" t="s">
        <v>102</v>
      </c>
      <c r="B31" s="24">
        <f>182-1-1-2+1-179+100-18-25-2-36-6-1-5</f>
        <v>7</v>
      </c>
      <c r="C31" t="s">
        <v>132</v>
      </c>
    </row>
    <row r="32" spans="1:3" x14ac:dyDescent="0.3">
      <c r="A32" s="20" t="s">
        <v>103</v>
      </c>
      <c r="B32" s="24">
        <f>77-1-2-40-34+4-1+1</f>
        <v>4</v>
      </c>
      <c r="C32" t="s">
        <v>132</v>
      </c>
    </row>
    <row r="33" spans="1:3" x14ac:dyDescent="0.3">
      <c r="A33" s="18" t="s">
        <v>104</v>
      </c>
      <c r="B33" s="23">
        <f>214-18-5-20-18-43-18-25-2-3-2-5-1-5-5-1-2+198-5-18-18-1+302-4-5-1-18-9-5-7-2-18-5-18+5-7-1-18-36-36-18-222-1-40-18-1-2-5-2</f>
        <v>5</v>
      </c>
      <c r="C33" t="s">
        <v>132</v>
      </c>
    </row>
    <row r="34" spans="1:3" x14ac:dyDescent="0.3">
      <c r="A34" s="18" t="s">
        <v>105</v>
      </c>
      <c r="B34" s="23">
        <f>3+1</f>
        <v>4</v>
      </c>
      <c r="C34" t="s">
        <v>132</v>
      </c>
    </row>
    <row r="35" spans="1:3" x14ac:dyDescent="0.3">
      <c r="A35" s="18" t="s">
        <v>106</v>
      </c>
      <c r="B35" s="23">
        <f>1</f>
        <v>1</v>
      </c>
      <c r="C35" t="s">
        <v>132</v>
      </c>
    </row>
    <row r="36" spans="1:3" x14ac:dyDescent="0.3">
      <c r="A36" s="18" t="s">
        <v>107</v>
      </c>
      <c r="B36" s="23">
        <f>1</f>
        <v>1</v>
      </c>
      <c r="C36" t="s">
        <v>132</v>
      </c>
    </row>
    <row r="37" spans="1:3" x14ac:dyDescent="0.3">
      <c r="A37" s="18" t="s">
        <v>108</v>
      </c>
      <c r="B37" s="23">
        <f>1+1</f>
        <v>2</v>
      </c>
      <c r="C37" t="s">
        <v>132</v>
      </c>
    </row>
    <row r="38" spans="1:3" x14ac:dyDescent="0.3">
      <c r="A38" s="18" t="s">
        <v>109</v>
      </c>
      <c r="B38" s="23">
        <f>1</f>
        <v>1</v>
      </c>
      <c r="C38" t="s">
        <v>132</v>
      </c>
    </row>
    <row r="39" spans="1:3" x14ac:dyDescent="0.3">
      <c r="A39" s="18" t="s">
        <v>110</v>
      </c>
      <c r="B39" s="23">
        <f>1</f>
        <v>1</v>
      </c>
      <c r="C3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Enclosed Type of SMPS</vt:lpstr>
      <vt:lpstr>DIN RAIL rype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 A</cp:lastModifiedBy>
  <dcterms:created xsi:type="dcterms:W3CDTF">2015-06-05T18:17:20Z</dcterms:created>
  <dcterms:modified xsi:type="dcterms:W3CDTF">2026-08-25T11:20:41Z</dcterms:modified>
</cp:coreProperties>
</file>